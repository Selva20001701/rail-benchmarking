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Sources" sheetId="1" state="visible" r:id="rId3"/>
    <sheet name="1_Raw_Data" sheetId="2" state="visible" r:id="rId4"/>
    <sheet name="2_Calculated_KPIs" sheetId="3" state="visible" r:id="rId5"/>
    <sheet name="3_Benchmark_Comparison" sheetId="4" state="visible" r:id="rId6"/>
    <sheet name="4_Chart_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<sst xmlns="http://schemas.openxmlformats.org/spreadsheetml/2006/main" count="223" uniqueCount="177">
  <si>
    <t xml:space="preserve">U.S. Commuter Rail Benchmarking — Data Sources &amp; Methodology</t>
  </si>
  <si>
    <t xml:space="preserve">All values sourced from publicly available federal databases and agency performance dashboards  |  FY2023 data unless noted</t>
  </si>
  <si>
    <t xml:space="preserve">PRIMARY DATA SOURCES — NATIONAL TRANSIT DATABASE (NTD), FY2023</t>
  </si>
  <si>
    <t xml:space="preserve">Dataset</t>
  </si>
  <si>
    <t xml:space="preserve">Fields Sourced</t>
  </si>
  <si>
    <t xml:space="preserve">Description</t>
  </si>
  <si>
    <t xml:space="preserve">URL</t>
  </si>
  <si>
    <t xml:space="preserve">Access Date</t>
  </si>
  <si>
    <t xml:space="preserve">Format</t>
  </si>
  <si>
    <t xml:space="preserve">Covers</t>
  </si>
  <si>
    <t xml:space="preserve">NTD 2023 Annual Data
— Metrics by Agency</t>
  </si>
  <si>
    <t xml:space="preserve">UPT, VRM, VRH,
Operating Expenses</t>
  </si>
  <si>
    <t xml:space="preserve">Federal database of transit agency financial and operating statistics. Filtered to Mode=CR (Commuter Rail) and Report Year=2023.</t>
  </si>
  <si>
    <t xml:space="preserve">data.transportation.gov/Public-Transit/
2022-2024-NTD-Annual-Data-Metrics/ekg5-frzt</t>
  </si>
  <si>
    <t xml:space="preserve">April 2026</t>
  </si>
  <si>
    <t xml:space="preserve">CSV (exported)</t>
  </si>
  <si>
    <t xml:space="preserve">All 6 agencies</t>
  </si>
  <si>
    <t xml:space="preserve">NTD 2023 Annual Database
— Agency Mode Service</t>
  </si>
  <si>
    <t xml:space="preserve">VOMS, VAMS</t>
  </si>
  <si>
    <t xml:space="preserve">Mode-level fleet data. Vehicles Operated in Maximum Service (VOMS) and Vehicles Available for Maximum Service (VAMS). Metra PT+DO rows summed.</t>
  </si>
  <si>
    <t xml:space="preserve">transit.dot.gov/ntd/data-product/
2023-annual-database-agency-mode-service</t>
  </si>
  <si>
    <t xml:space="preserve">XLSX (direct download)</t>
  </si>
  <si>
    <t xml:space="preserve">ON-TIME PERFORMANCE (OTP) — AGENCY PERFORMANCE DASHBOARDS, FY2023</t>
  </si>
  <si>
    <t xml:space="preserve">Agency</t>
  </si>
  <si>
    <t xml:space="preserve">OTP Value Used</t>
  </si>
  <si>
    <t xml:space="preserve">Definition Used</t>
  </si>
  <si>
    <t xml:space="preserve">Source / URL</t>
  </si>
  <si>
    <t xml:space="preserve">Quote / Evidence</t>
  </si>
  <si>
    <t xml:space="preserve">Notes</t>
  </si>
  <si>
    <t xml:space="preserve">MBTA</t>
  </si>
  <si>
    <t xml:space="preserve">93.15%  (0.9315)</t>
  </si>
  <si>
    <t xml:space="preserve">Train arrives at terminal within 5 min of scheduled time</t>
  </si>
  <si>
    <t xml:space="preserve">CommonWealth Beacon citing Keolis Annual Report
commonwealthbeacon.org/opinion/commuter-rails-ridership-recovery-plan-is-working/</t>
  </si>
  <si>
    <t xml:space="preserve">"93.15% of all trains on average arrived at their terminal stations within 5 minutes of schedule" — Keolis CEO, 2023</t>
  </si>
  <si>
    <t xml:space="preserve">Verified — Keolis annual figure</t>
  </si>
  <si>
    <t xml:space="preserve">NJ Transit</t>
  </si>
  <si>
    <t xml:space="preserve">92.1%  (0.921)</t>
  </si>
  <si>
    <t xml:space="preserve">Train arrives at final destination within 5 min 59 sec</t>
  </si>
  <si>
    <t xml:space="preserve">NJ Transit Progress Report
njtransit.com/progress</t>
  </si>
  <si>
    <t xml:space="preserve">"Rail improved from 90.0% in FY19 to 92.1% in FY23"</t>
  </si>
  <si>
    <t xml:space="preserve">Official agency report</t>
  </si>
  <si>
    <t xml:space="preserve">SEPTA</t>
  </si>
  <si>
    <t xml:space="preserve">87.9%  (0.879)</t>
  </si>
  <si>
    <t xml:space="preserve">Train arrives at destination within 5 min of scheduled time</t>
  </si>
  <si>
    <t xml:space="preserve">SEPTA 2023 Annual Performance Report
septa.org/reports/</t>
  </si>
  <si>
    <t xml:space="preserve">2023 Annual Performance Report — Regional Rail OTP section</t>
  </si>
  <si>
    <t xml:space="preserve">From published annual report</t>
  </si>
  <si>
    <t xml:space="preserve">MARC</t>
  </si>
  <si>
    <t xml:space="preserve">90.0%  (0.900)</t>
  </si>
  <si>
    <t xml:space="preserve">Train arrives within 7 min of scheduled arrival</t>
  </si>
  <si>
    <t xml:space="preserve">Maryland MTA Performance Improvement Dashboard
mta.maryland.gov/performance-improvement</t>
  </si>
  <si>
    <t xml:space="preserve">"MARC Train on-time performance typically falls between 87% and 93%" — MTA dashboard; 90% used as midpoint</t>
  </si>
  <si>
    <t xml:space="preserve">Midpoint of published range; conservative estimate</t>
  </si>
  <si>
    <t xml:space="preserve">Metra</t>
  </si>
  <si>
    <t xml:space="preserve">95.0%  (0.950)</t>
  </si>
  <si>
    <t xml:space="preserve">Train arrives at last station stop within 5 min 59 sec</t>
  </si>
  <si>
    <t xml:space="preserve">Metra Strategic Plan Accomplishments 2023-2024
assets.metra.com (Strategic Plan PDF)</t>
  </si>
  <si>
    <t xml:space="preserve">"Achieved 95% on-time performance across all lines and services in 2023 and 2024"</t>
  </si>
  <si>
    <t xml:space="preserve">Official agency strategic plan document</t>
  </si>
  <si>
    <t xml:space="preserve">Caltrain</t>
  </si>
  <si>
    <t xml:space="preserve">92.0%  (0.920)</t>
  </si>
  <si>
    <t xml:space="preserve">Caltrain Monthly Performance Reports 2023
caltrain.com/about/statsandreports</t>
  </si>
  <si>
    <t xml:space="preserve">2023 monthly OTP reports average — diesel era prior to electrification (Sep 2024)</t>
  </si>
  <si>
    <t xml:space="preserve">Average of 2023 monthly reports</t>
  </si>
  <si>
    <t xml:space="preserve">SUPPLEMENTAL VALUES — VERIFIED FROM PUBLISHED AGENCY DATA</t>
  </si>
  <si>
    <t xml:space="preserve">Field</t>
  </si>
  <si>
    <t xml:space="preserve">Value Used</t>
  </si>
  <si>
    <t xml:space="preserve">Source</t>
  </si>
  <si>
    <t xml:space="preserve">Basis</t>
  </si>
  <si>
    <t xml:space="preserve">Confidence</t>
  </si>
  <si>
    <t xml:space="preserve">All agencies</t>
  </si>
  <si>
    <t xml:space="preserve">Route Miles
(Directional)</t>
  </si>
  <si>
    <t xml:space="preserve">See sheet</t>
  </si>
  <si>
    <t xml:space="preserve">NTD Agency Profiles / Agency system maps</t>
  </si>
  <si>
    <t xml:space="preserve">Published system route maps and NTD directional mileage figures</t>
  </si>
  <si>
    <t xml:space="preserve">HIGH</t>
  </si>
  <si>
    <t xml:space="preserve">Cross-checked against agency annual reports</t>
  </si>
  <si>
    <t xml:space="preserve">Peak-Hour Trains
/ Direction</t>
  </si>
  <si>
    <t xml:space="preserve">Agency timetable PDFs (peak AM inbound window)</t>
  </si>
  <si>
    <t xml:space="preserve">Manual count of trains in busiest 60-min AM peak window from published timetables</t>
  </si>
  <si>
    <t xml:space="preserve">Counted from published schedules</t>
  </si>
  <si>
    <t xml:space="preserve">Avg Train Capacity
(Seats)</t>
  </si>
  <si>
    <t xml:space="preserve">Agency fleet pages / Wikipedia fleet articles</t>
  </si>
  <si>
    <t xml:space="preserve">Typical consist seat count for peak-service train type per agency</t>
  </si>
  <si>
    <t xml:space="preserve">MEDIUM</t>
  </si>
  <si>
    <t xml:space="preserve">Based on dominant fleet type; actual consists vary</t>
  </si>
  <si>
    <t xml:space="preserve">All NTD metrics</t>
  </si>
  <si>
    <t xml:space="preserve">PT + DO summed</t>
  </si>
  <si>
    <t xml:space="preserve">NTD 2023 — both TOS rows combined</t>
  </si>
  <si>
    <t xml:space="preserve">Metra reports Purchased Transportation (PT) and Directly Operated (DO) separately; values summed for total system view</t>
  </si>
  <si>
    <t xml:space="preserve">Standard methodology for multi-TOS agencies</t>
  </si>
  <si>
    <t xml:space="preserve">METHODOLOGY NOTES</t>
  </si>
  <si>
    <t xml:space="preserve">Report Year</t>
  </si>
  <si>
    <t xml:space="preserve">All NTD data uses Report Year 2023 (calendar year 2023). Agency OTP figures use FY2023 as reported by each agency (fiscal years vary: MBTA/NJT = Oct-Sep; MARC/SEPTA = Jul-Jun; Metra/Caltrain = Jan-Dec).</t>
  </si>
  <si>
    <t xml:space="preserve">Composite Score</t>
  </si>
  <si>
    <t xml:space="preserve">Weighted average of 6 normalized KPIs (min-max scaled 0-100). Weights: Ridership Density 25%, Cost Efficiency 20%, Fleet Utilization 15%, Service Intensity 15%, Rev. Hr Efficiency 15%, OTP 10%. Cost/Trip is inverted so lower cost = higher score.</t>
  </si>
  <si>
    <t xml:space="preserve">Metra TOS Split</t>
  </si>
  <si>
    <t xml:space="preserve">Metra operates both Directly Operated (DO) service on 7 lines and Purchased Transportation (PT) on 4 lines (BNSF, UP). NTD reports these as separate rows. All metrics are summed across both TOS types to represent the full Metra system.</t>
  </si>
  <si>
    <t xml:space="preserve">Route Miles</t>
  </si>
  <si>
    <t xml:space="preserve">Directional Route Miles represent total one-way track miles served, not centerline miles. This is the NTD standard measure and is used in all density calculations.</t>
  </si>
  <si>
    <t xml:space="preserve">OTP Definition</t>
  </si>
  <si>
    <t xml:space="preserve">Each agency uses a slightly different OTP window (5 min vs 5 min 59 sec vs 7 min). Values are reported as published by each agency. Direct comparison should account for this methodological difference — noted in findings.</t>
  </si>
  <si>
    <t xml:space="preserve">Peak Trains</t>
  </si>
  <si>
    <t xml:space="preserve">Peak-Hour Trains/Direction = count of scheduled trains in the busiest 60-minute AM peak inbound window on the highest-volume line. Used as a proxy for peak capacity planning intensity.</t>
  </si>
  <si>
    <t xml:space="preserve">This project was prepared as part of a U.S. Commuter Rail Benchmarking portfolio piece. All data is publicly available. No proprietary or confidential data was used.</t>
  </si>
  <si>
    <t xml:space="preserve">U.S. Commuter Rail Benchmarking — Raw Data</t>
  </si>
  <si>
    <t xml:space="preserve">Source data collected from NTD 2023 Annual Data Products &amp; agency performance dashboards  |  Data Year: FY2023  |  All values as reported</t>
  </si>
  <si>
    <t xml:space="preserve">NTD-SOURCED METRICS</t>
  </si>
  <si>
    <t xml:space="preserve">NTD ID</t>
  </si>
  <si>
    <t xml:space="preserve">Unlinked Passenger
Trips (UPT)</t>
  </si>
  <si>
    <t xml:space="preserve">Vehicle Revenue
Miles (VRM)</t>
  </si>
  <si>
    <t xml:space="preserve">Vehicle Revenue
Hours (VRH)</t>
  </si>
  <si>
    <t xml:space="preserve">Vehicles Operated in
Max Service (VOMS)</t>
  </si>
  <si>
    <t xml:space="preserve">Vehicles Available for
Max Service (VAMS)</t>
  </si>
  <si>
    <t xml:space="preserve">Operating Expenses
(USD)</t>
  </si>
  <si>
    <t xml:space="preserve">On-Time
Performance (%)</t>
  </si>
  <si>
    <t xml:space="preserve">Peak-Hour
Trains/Direction</t>
  </si>
  <si>
    <t xml:space="preserve">Sources: NTD 2023 Annual Data — data.transportation.gov | Agency OTP dashboards (see links above) | Blue cells = enter raw values from source</t>
  </si>
  <si>
    <t xml:space="preserve">HOW TO FILL THIS SHEET</t>
  </si>
  <si>
    <t xml:space="preserve">1. UPT, VRM, VRH, VOMS, VAMS, OpEx: Download NTD 2023 Metrics CSV → filter by NTD ID (col B) → mode = CR</t>
  </si>
  <si>
    <t xml:space="preserve">2. Route Miles: NTD 2023 Agency Mode Service file → Directional Route Miles column</t>
  </si>
  <si>
    <t xml:space="preserve">3. OTP (%): Enter as decimal (e.g. 0.921 for 92.1%) — source from each agency dashboard (links in Sources row)</t>
  </si>
  <si>
    <t xml:space="preserve">4. Peak-Hour Trains/Direction: Count from agency timetable PDFs — peak AM inbound trains in the busiest 60-min window</t>
  </si>
  <si>
    <t xml:space="preserve">5. Avg Train Capacity (Seats): From agency fleet pages — typical consist seats for the peak service train type</t>
  </si>
  <si>
    <t xml:space="preserve">U.S. Commuter Rail Benchmarking — Calculated KPIs</t>
  </si>
  <si>
    <t xml:space="preserve">All metrics derived from Raw Data sheet  |  Black = formula  |  Update Raw Data sheet to refresh all values here</t>
  </si>
  <si>
    <t xml:space="preserve">Ridership Density
(UPT / Route Mile)</t>
  </si>
  <si>
    <t xml:space="preserve">Fleet Utilization
(VOMS / VAMS)</t>
  </si>
  <si>
    <t xml:space="preserve">Cost Efficiency
(OpEx / UPT)</t>
  </si>
  <si>
    <t xml:space="preserve">Service Intensity
(VRM / Route Mile)</t>
  </si>
  <si>
    <t xml:space="preserve">Revenue Hour
Efficiency (UPT/VRH)</t>
  </si>
  <si>
    <t xml:space="preserve">Peak Capacity
(Trains × Seats)</t>
  </si>
  <si>
    <t xml:space="preserve">Composite
Score (0–100)</t>
  </si>
  <si>
    <t xml:space="preserve">COMPOSITE SCORE WEIGHTS</t>
  </si>
  <si>
    <t xml:space="preserve">Ridership Density</t>
  </si>
  <si>
    <t xml:space="preserve">25%</t>
  </si>
  <si>
    <t xml:space="preserve">Trips per route mile — measures how intensively the network is used</t>
  </si>
  <si>
    <t xml:space="preserve">Cost Efficiency</t>
  </si>
  <si>
    <t xml:space="preserve">20%</t>
  </si>
  <si>
    <t xml:space="preserve">Operating cost per trip — lower is better (inverted in scoring)</t>
  </si>
  <si>
    <t xml:space="preserve">Fleet Utilization</t>
  </si>
  <si>
    <t xml:space="preserve">15%</t>
  </si>
  <si>
    <t xml:space="preserve">Peak vehicles deployed vs available — higher = less spare capacity</t>
  </si>
  <si>
    <t xml:space="preserve">Service Intensity</t>
  </si>
  <si>
    <t xml:space="preserve">Vehicle revenue miles per route mile — frequency proxy</t>
  </si>
  <si>
    <t xml:space="preserve">Rev. Hr Efficiency</t>
  </si>
  <si>
    <t xml:space="preserve">Trips per revenue hour — productivity of scheduled service</t>
  </si>
  <si>
    <t xml:space="preserve">On-Time Performance</t>
  </si>
  <si>
    <t xml:space="preserve">10%</t>
  </si>
  <si>
    <t xml:space="preserve">Agency-reported annual OTP % — reliability indicator</t>
  </si>
  <si>
    <t xml:space="preserve">U.S. Commuter Rail Benchmarking — Comparison Table</t>
  </si>
  <si>
    <t xml:space="preserve">Rankings and performance tiers across 6 systems  |  Rank 1 = best performer per KPI  |  Color scale: green = top, red = bottom</t>
  </si>
  <si>
    <t xml:space="preserve">PERFORMANCE BENCHMARKING MATRIX — FY2023</t>
  </si>
  <si>
    <t xml:space="preserve">Region</t>
  </si>
  <si>
    <t xml:space="preserve">Ridership
Density Rank</t>
  </si>
  <si>
    <t xml:space="preserve">Fleet Util.
Rank</t>
  </si>
  <si>
    <t xml:space="preserve">Cost
Efficiency Rank</t>
  </si>
  <si>
    <t xml:space="preserve">Service
Intensity Rank</t>
  </si>
  <si>
    <t xml:space="preserve">Rev. Hr
Efficiency Rank</t>
  </si>
  <si>
    <t xml:space="preserve">OTP Rank</t>
  </si>
  <si>
    <t xml:space="preserve">Composite
Score</t>
  </si>
  <si>
    <t xml:space="preserve">Overall
Rank</t>
  </si>
  <si>
    <t xml:space="preserve">Northeast</t>
  </si>
  <si>
    <t xml:space="preserve">Mid-Atlantic</t>
  </si>
  <si>
    <t xml:space="preserve">Midwest</t>
  </si>
  <si>
    <t xml:space="preserve">West Coast</t>
  </si>
  <si>
    <t xml:space="preserve">Note: Rank 1 = best performer. Cost Efficiency rank is inverted (lower cost per trip = Rank 1). Composite score is weighted — see weighting methodology in 2_Calculated_KPIs tab.</t>
  </si>
  <si>
    <t xml:space="preserve">U.S. Commuter Rail Benchmarking — Chart Dashboard</t>
  </si>
  <si>
    <t xml:space="preserve">FY2023 | 6 KPI charts | Data sourced from NTD + agency dashboards</t>
  </si>
  <si>
    <t xml:space="preserve">COMPOSITE SCORE (0-100)</t>
  </si>
  <si>
    <t xml:space="preserve">RIDERSHIP DENSITY (trips/mi)</t>
  </si>
  <si>
    <t xml:space="preserve">OTP (%)</t>
  </si>
  <si>
    <t xml:space="preserve">COST / TRIP ($)</t>
  </si>
  <si>
    <t xml:space="preserve">FLEET UTILIZATION (%)</t>
  </si>
  <si>
    <t xml:space="preserve">REV. HR EFFICIENCY</t>
  </si>
  <si>
    <t xml:space="preserve">Value</t>
  </si>
  <si>
    <t xml:space="preserve">CHARTS — All data linked live to 2_Calculated_KPIs sheet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</si>
</sst>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.0"/>
    <numFmt numFmtId="167" formatCode="\$#,##0"/>
    <numFmt numFmtId="168" formatCode="0.0%"/>
    <numFmt numFmtId="169" formatCode="\$#,##0.00"/>
    <numFmt numFmtId="170" formatCode="0.0"/>
    <numFmt numFmtId="171" formatCode="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9"/>
      <color rgb="FF276221"/>
      <name val="Arial"/>
      <family val="0"/>
      <charset val="1"/>
    </font>
    <font>
      <b val="true"/>
      <sz val="9"/>
      <color rgb="FF9C65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8A"/>
        <bgColor rgb="FF1F3864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EBF4FA"/>
      </patternFill>
    </fill>
    <fill>
      <patternFill patternType="solid">
        <fgColor rgb="FFEBF4FA"/>
        <bgColor rgb="FFE2EFDA"/>
      </patternFill>
    </fill>
    <fill>
      <patternFill patternType="solid">
        <fgColor rgb="FFE2EFDA"/>
        <bgColor rgb="FFEBF4FA"/>
      </patternFill>
    </fill>
    <fill>
      <patternFill patternType="solid">
        <fgColor rgb="FFFFF2CC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76221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2CC"/>
      <rgbColor rgb="FFEBF4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E5F8A"/>
      <rgbColor rgb="FFB3B3B3"/>
      <rgbColor rgb="FF1F3864"/>
      <rgbColor rgb="FF339966"/>
      <rgbColor rgb="FF003300"/>
      <rgbColor rgb="FF333300"/>
      <rgbColor rgb="FF854F0B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FY2023 Composite Score (0-100)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e5f8a"/>
            </a:solidFill>
            <a:ln w="9360">
              <a:solidFill>
                <a:srgbClr val="1f3864"/>
              </a:solidFill>
              <a:round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4_Chart_Dashboard!$A$6:$A$11</c:f>
              <c:strCache>
                <c:ptCount val="6"/>
                <c:pt idx="0">
                  <c:v>MBTA</c:v>
                </c:pt>
                <c:pt idx="1">
                  <c:v>NJ Transit</c:v>
                </c:pt>
                <c:pt idx="2">
                  <c:v>SEPTA</c:v>
                </c:pt>
                <c:pt idx="3">
                  <c:v>MARC</c:v>
                </c:pt>
                <c:pt idx="4">
                  <c:v>Metra</c:v>
                </c:pt>
                <c:pt idx="5">
                  <c:v>Caltrain</c:v>
                </c:pt>
              </c:strCache>
            </c:strRef>
          </c:cat>
          <c:val>
            <c:numRef>
              <c:f>4_Chart_Dashboard!$B$6:$B$11</c:f>
              <c:numCache>
                <c:formatCode>0.0</c:formatCode>
                <c:ptCount val="6"/>
                <c:pt idx="0">
                  <c:v>69</c:v>
                </c:pt>
                <c:pt idx="1">
                  <c:v>55</c:v>
                </c:pt>
                <c:pt idx="2">
                  <c:v>70</c:v>
                </c:pt>
                <c:pt idx="3">
                  <c:v>11</c:v>
                </c:pt>
                <c:pt idx="4">
                  <c:v>25</c:v>
                </c:pt>
                <c:pt idx="5">
                  <c:v>70</c:v>
                </c:pt>
              </c:numCache>
            </c:numRef>
          </c:val>
        </c:ser>
        <c:gapWidth val="150"/>
        <c:overlap val="0"/>
        <c:axId val="80963442"/>
        <c:axId val="8467630"/>
      </c:barChart>
      <c:catAx>
        <c:axId val="809634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67630"/>
        <c:crosses val="autoZero"/>
        <c:auto val="1"/>
        <c:lblAlgn val="ctr"/>
        <c:lblOffset val="100"/>
        <c:noMultiLvlLbl val="0"/>
      </c:catAx>
      <c:valAx>
        <c:axId val="84676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9634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FY2023 Ridership Density (trips/mi)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e5f8a"/>
            </a:solidFill>
            <a:ln w="9360">
              <a:solidFill>
                <a:srgbClr val="1f3864"/>
              </a:solidFill>
              <a:round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4_Chart_Dashboard!$D$6:$D$11</c:f>
              <c:strCache>
                <c:ptCount val="6"/>
                <c:pt idx="0">
                  <c:v>MBTA</c:v>
                </c:pt>
                <c:pt idx="1">
                  <c:v>NJ Transit</c:v>
                </c:pt>
                <c:pt idx="2">
                  <c:v>SEPTA</c:v>
                </c:pt>
                <c:pt idx="3">
                  <c:v>MARC</c:v>
                </c:pt>
                <c:pt idx="4">
                  <c:v>Metra</c:v>
                </c:pt>
                <c:pt idx="5">
                  <c:v>Caltrain</c:v>
                </c:pt>
              </c:strCache>
            </c:strRef>
          </c:cat>
          <c:val>
            <c:numRef>
              <c:f>4_Chart_Dashboard!$E$6:$E$11</c:f>
              <c:numCache>
                <c:formatCode>#,##0</c:formatCode>
                <c:ptCount val="6"/>
                <c:pt idx="0">
                  <c:v>56613.9590361446</c:v>
                </c:pt>
                <c:pt idx="1">
                  <c:v>53231.200990099</c:v>
                </c:pt>
                <c:pt idx="2">
                  <c:v>68226.9785714286</c:v>
                </c:pt>
                <c:pt idx="3">
                  <c:v>18057.9518716578</c:v>
                </c:pt>
                <c:pt idx="4">
                  <c:v>28059.7157894737</c:v>
                </c:pt>
                <c:pt idx="5">
                  <c:v>91066.4415584416</c:v>
                </c:pt>
              </c:numCache>
            </c:numRef>
          </c:val>
        </c:ser>
        <c:gapWidth val="150"/>
        <c:overlap val="0"/>
        <c:axId val="97459210"/>
        <c:axId val="42238619"/>
      </c:barChart>
      <c:catAx>
        <c:axId val="974592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238619"/>
        <c:crosses val="autoZero"/>
        <c:auto val="1"/>
        <c:lblAlgn val="ctr"/>
        <c:lblOffset val="100"/>
        <c:noMultiLvlLbl val="0"/>
      </c:catAx>
      <c:valAx>
        <c:axId val="422386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4592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FY2023 On-Time Performance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e5f8a"/>
            </a:solidFill>
            <a:ln w="9360">
              <a:solidFill>
                <a:srgbClr val="1f3864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4_Chart_Dashboard!$G$6:$G$11</c:f>
              <c:strCache>
                <c:ptCount val="6"/>
                <c:pt idx="0">
                  <c:v>MBTA</c:v>
                </c:pt>
                <c:pt idx="1">
                  <c:v>NJ Transit</c:v>
                </c:pt>
                <c:pt idx="2">
                  <c:v>SEPTA</c:v>
                </c:pt>
                <c:pt idx="3">
                  <c:v>MARC</c:v>
                </c:pt>
                <c:pt idx="4">
                  <c:v>Metra</c:v>
                </c:pt>
                <c:pt idx="5">
                  <c:v>Caltrain</c:v>
                </c:pt>
              </c:strCache>
            </c:strRef>
          </c:cat>
          <c:val>
            <c:numRef>
              <c:f>4_Chart_Dashboard!$H$6:$H$11</c:f>
              <c:numCache>
                <c:formatCode>0.0%</c:formatCode>
                <c:ptCount val="6"/>
                <c:pt idx="0">
                  <c:v>0.9315</c:v>
                </c:pt>
                <c:pt idx="1">
                  <c:v>0.921</c:v>
                </c:pt>
                <c:pt idx="2">
                  <c:v>0.879</c:v>
                </c:pt>
                <c:pt idx="3">
                  <c:v>0.9</c:v>
                </c:pt>
                <c:pt idx="4">
                  <c:v>0.95</c:v>
                </c:pt>
                <c:pt idx="5">
                  <c:v>0.92</c:v>
                </c:pt>
              </c:numCache>
            </c:numRef>
          </c:val>
        </c:ser>
        <c:gapWidth val="150"/>
        <c:overlap val="0"/>
        <c:axId val="60633207"/>
        <c:axId val="82643782"/>
      </c:barChart>
      <c:catAx>
        <c:axId val="606332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643782"/>
        <c:crosses val="autoZero"/>
        <c:auto val="1"/>
        <c:lblAlgn val="ctr"/>
        <c:lblOffset val="100"/>
        <c:noMultiLvlLbl val="0"/>
      </c:catAx>
      <c:valAx>
        <c:axId val="8264378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6332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FY2023 Cost per Trip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e5f8a"/>
            </a:solidFill>
            <a:ln w="9360">
              <a:solidFill>
                <a:srgbClr val="1f3864"/>
              </a:solidFill>
              <a:round/>
            </a:ln>
          </c:spPr>
          <c:invertIfNegative val="0"/>
          <c:dLbls>
            <c:numFmt formatCode="\$#,##0.0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4_Chart_Dashboard!$J$6:$J$11</c:f>
              <c:strCache>
                <c:ptCount val="6"/>
                <c:pt idx="0">
                  <c:v>MBTA</c:v>
                </c:pt>
                <c:pt idx="1">
                  <c:v>NJ Transit</c:v>
                </c:pt>
                <c:pt idx="2">
                  <c:v>SEPTA</c:v>
                </c:pt>
                <c:pt idx="3">
                  <c:v>MARC</c:v>
                </c:pt>
                <c:pt idx="4">
                  <c:v>Metra</c:v>
                </c:pt>
                <c:pt idx="5">
                  <c:v>Caltrain</c:v>
                </c:pt>
              </c:strCache>
            </c:strRef>
          </c:cat>
          <c:val>
            <c:numRef>
              <c:f>4_Chart_Dashboard!$K$6:$K$11</c:f>
              <c:numCache>
                <c:formatCode>\$#,##0.00</c:formatCode>
                <c:ptCount val="6"/>
                <c:pt idx="0">
                  <c:v>20.3345511067069</c:v>
                </c:pt>
                <c:pt idx="1">
                  <c:v>24.4614111990785</c:v>
                </c:pt>
                <c:pt idx="2">
                  <c:v>16.5626148935428</c:v>
                </c:pt>
                <c:pt idx="3">
                  <c:v>46.8836941196747</c:v>
                </c:pt>
                <c:pt idx="4">
                  <c:v>28.0294789220833</c:v>
                </c:pt>
                <c:pt idx="5">
                  <c:v>24.6563712009328</c:v>
                </c:pt>
              </c:numCache>
            </c:numRef>
          </c:val>
        </c:ser>
        <c:gapWidth val="150"/>
        <c:overlap val="0"/>
        <c:axId val="59510418"/>
        <c:axId val="71351681"/>
      </c:barChart>
      <c:catAx>
        <c:axId val="595104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351681"/>
        <c:crosses val="autoZero"/>
        <c:auto val="1"/>
        <c:lblAlgn val="ctr"/>
        <c:lblOffset val="100"/>
        <c:noMultiLvlLbl val="0"/>
      </c:catAx>
      <c:valAx>
        <c:axId val="713516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5104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FY2023 Fleet Utilization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e5f8a"/>
            </a:solidFill>
            <a:ln w="9360">
              <a:solidFill>
                <a:srgbClr val="1f3864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4_Chart_Dashboard!$M$6:$M$11</c:f>
              <c:strCache>
                <c:ptCount val="6"/>
                <c:pt idx="0">
                  <c:v>MBTA</c:v>
                </c:pt>
                <c:pt idx="1">
                  <c:v>NJ Transit</c:v>
                </c:pt>
                <c:pt idx="2">
                  <c:v>SEPTA</c:v>
                </c:pt>
                <c:pt idx="3">
                  <c:v>MARC</c:v>
                </c:pt>
                <c:pt idx="4">
                  <c:v>Metra</c:v>
                </c:pt>
                <c:pt idx="5">
                  <c:v>Caltrain</c:v>
                </c:pt>
              </c:strCache>
            </c:strRef>
          </c:cat>
          <c:val>
            <c:numRef>
              <c:f>4_Chart_Dashboard!$N$6:$N$11</c:f>
              <c:numCache>
                <c:formatCode>0.0%</c:formatCode>
                <c:ptCount val="6"/>
                <c:pt idx="0">
                  <c:v>0.849372384937239</c:v>
                </c:pt>
                <c:pt idx="1">
                  <c:v>0.66360153256705</c:v>
                </c:pt>
                <c:pt idx="2">
                  <c:v>0.744525547445256</c:v>
                </c:pt>
                <c:pt idx="3">
                  <c:v>0.741293532338308</c:v>
                </c:pt>
                <c:pt idx="4">
                  <c:v>0.618305084745763</c:v>
                </c:pt>
                <c:pt idx="5">
                  <c:v>0.639097744360902</c:v>
                </c:pt>
              </c:numCache>
            </c:numRef>
          </c:val>
        </c:ser>
        <c:gapWidth val="150"/>
        <c:overlap val="0"/>
        <c:axId val="27071904"/>
        <c:axId val="67356575"/>
      </c:barChart>
      <c:catAx>
        <c:axId val="270719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356575"/>
        <c:crosses val="autoZero"/>
        <c:auto val="1"/>
        <c:lblAlgn val="ctr"/>
        <c:lblOffset val="100"/>
        <c:noMultiLvlLbl val="0"/>
      </c:catAx>
      <c:valAx>
        <c:axId val="6735657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0719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FY2023 Rev. Hr Efficiency (trips/VRH)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e5f8a"/>
            </a:solidFill>
            <a:ln w="9360">
              <a:solidFill>
                <a:srgbClr val="1f3864"/>
              </a:solidFill>
              <a:round/>
            </a:ln>
          </c:spPr>
          <c:invertIfNegative val="0"/>
          <c:dLbls>
            <c:numFmt formatCode="#,##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4_Chart_Dashboard!$P$6:$P$11</c:f>
              <c:strCache>
                <c:ptCount val="6"/>
                <c:pt idx="0">
                  <c:v>MBTA</c:v>
                </c:pt>
                <c:pt idx="1">
                  <c:v>NJ Transit</c:v>
                </c:pt>
                <c:pt idx="2">
                  <c:v>SEPTA</c:v>
                </c:pt>
                <c:pt idx="3">
                  <c:v>MARC</c:v>
                </c:pt>
                <c:pt idx="4">
                  <c:v>Metra</c:v>
                </c:pt>
                <c:pt idx="5">
                  <c:v>Caltrain</c:v>
                </c:pt>
              </c:strCache>
            </c:strRef>
          </c:cat>
          <c:val>
            <c:numRef>
              <c:f>4_Chart_Dashboard!$Q$6:$Q$11</c:f>
              <c:numCache>
                <c:formatCode>#,##0.0</c:formatCode>
                <c:ptCount val="6"/>
                <c:pt idx="0">
                  <c:v>28.8108571106239</c:v>
                </c:pt>
                <c:pt idx="1">
                  <c:v>29.3226149525748</c:v>
                </c:pt>
                <c:pt idx="2">
                  <c:v>22.4065480630738</c:v>
                </c:pt>
                <c:pt idx="3">
                  <c:v>20.0485474936622</c:v>
                </c:pt>
                <c:pt idx="4">
                  <c:v>21.9412455063698</c:v>
                </c:pt>
                <c:pt idx="5">
                  <c:v>32.7434871330311</c:v>
                </c:pt>
              </c:numCache>
            </c:numRef>
          </c:val>
        </c:ser>
        <c:gapWidth val="150"/>
        <c:overlap val="0"/>
        <c:axId val="35137729"/>
        <c:axId val="69799768"/>
      </c:barChart>
      <c:catAx>
        <c:axId val="351377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799768"/>
        <c:crosses val="autoZero"/>
        <c:auto val="1"/>
        <c:lblAlgn val="ctr"/>
        <c:lblOffset val="100"/>
        <c:noMultiLvlLbl val="0"/>
      </c:catAx>
      <c:valAx>
        <c:axId val="697997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1377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7</xdr:col>
      <xdr:colOff>261000</xdr:colOff>
      <xdr:row>33</xdr:row>
      <xdr:rowOff>148680</xdr:rowOff>
    </xdr:to>
    <xdr:graphicFrame>
      <xdr:nvGraphicFramePr>
        <xdr:cNvPr id="0" name="Chart 1"/>
        <xdr:cNvGraphicFramePr/>
      </xdr:nvGraphicFramePr>
      <xdr:xfrm>
        <a:off x="0" y="2752560"/>
        <a:ext cx="575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13</xdr:row>
      <xdr:rowOff>0</xdr:rowOff>
    </xdr:from>
    <xdr:to>
      <xdr:col>15</xdr:col>
      <xdr:colOff>120240</xdr:colOff>
      <xdr:row>33</xdr:row>
      <xdr:rowOff>148680</xdr:rowOff>
    </xdr:to>
    <xdr:graphicFrame>
      <xdr:nvGraphicFramePr>
        <xdr:cNvPr id="1" name="Chart 2"/>
        <xdr:cNvGraphicFramePr/>
      </xdr:nvGraphicFramePr>
      <xdr:xfrm>
        <a:off x="5497920" y="2752560"/>
        <a:ext cx="575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29</xdr:row>
      <xdr:rowOff>0</xdr:rowOff>
    </xdr:from>
    <xdr:to>
      <xdr:col>7</xdr:col>
      <xdr:colOff>261000</xdr:colOff>
      <xdr:row>49</xdr:row>
      <xdr:rowOff>149040</xdr:rowOff>
    </xdr:to>
    <xdr:graphicFrame>
      <xdr:nvGraphicFramePr>
        <xdr:cNvPr id="2" name="Chart 3"/>
        <xdr:cNvGraphicFramePr/>
      </xdr:nvGraphicFramePr>
      <xdr:xfrm>
        <a:off x="0" y="5800680"/>
        <a:ext cx="575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29</xdr:row>
      <xdr:rowOff>0</xdr:rowOff>
    </xdr:from>
    <xdr:to>
      <xdr:col>15</xdr:col>
      <xdr:colOff>120240</xdr:colOff>
      <xdr:row>49</xdr:row>
      <xdr:rowOff>149040</xdr:rowOff>
    </xdr:to>
    <xdr:graphicFrame>
      <xdr:nvGraphicFramePr>
        <xdr:cNvPr id="3" name="Chart 4"/>
        <xdr:cNvGraphicFramePr/>
      </xdr:nvGraphicFramePr>
      <xdr:xfrm>
        <a:off x="5497920" y="5800680"/>
        <a:ext cx="575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45</xdr:row>
      <xdr:rowOff>0</xdr:rowOff>
    </xdr:from>
    <xdr:to>
      <xdr:col>7</xdr:col>
      <xdr:colOff>261000</xdr:colOff>
      <xdr:row>65</xdr:row>
      <xdr:rowOff>149040</xdr:rowOff>
    </xdr:to>
    <xdr:graphicFrame>
      <xdr:nvGraphicFramePr>
        <xdr:cNvPr id="4" name="Chart 5"/>
        <xdr:cNvGraphicFramePr/>
      </xdr:nvGraphicFramePr>
      <xdr:xfrm>
        <a:off x="0" y="8848800"/>
        <a:ext cx="575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45</xdr:row>
      <xdr:rowOff>0</xdr:rowOff>
    </xdr:from>
    <xdr:to>
      <xdr:col>15</xdr:col>
      <xdr:colOff>120240</xdr:colOff>
      <xdr:row>65</xdr:row>
      <xdr:rowOff>149040</xdr:rowOff>
    </xdr:to>
    <xdr:graphicFrame>
      <xdr:nvGraphicFramePr>
        <xdr:cNvPr id="5" name="Chart 6"/>
        <xdr:cNvGraphicFramePr/>
      </xdr:nvGraphicFramePr>
      <xdr:xfrm>
        <a:off x="5497920" y="8848800"/>
        <a:ext cx="575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6221"/>
    <pageSetUpPr fitToPage="false"/>
  </sheetPr>
  <dimension ref="A1:G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28"/>
    <col collapsed="false" customWidth="true" hidden="false" outlineLevel="0" max="4" min="4" style="1" width="46"/>
    <col collapsed="false" customWidth="true" hidden="false" outlineLevel="0" max="6" min="5" style="1" width="20"/>
    <col collapsed="false" customWidth="true" hidden="false" outlineLevel="0" max="7" min="7" style="1" width="22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3.5" hidden="false" customHeight="true" outlineLevel="0" collapsed="false">
      <c r="A4" s="4" t="s">
        <v>2</v>
      </c>
      <c r="B4" s="4"/>
      <c r="C4" s="4"/>
      <c r="D4" s="4"/>
      <c r="E4" s="4"/>
      <c r="F4" s="4"/>
      <c r="G4" s="4"/>
    </row>
    <row r="5" customFormat="false" ht="19.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customFormat="false" ht="31.5" hidden="false" customHeight="true" outlineLevel="0" collapsed="false">
      <c r="A6" s="6" t="s">
        <v>10</v>
      </c>
      <c r="B6" s="6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</row>
    <row r="7" customFormat="false" ht="31.5" hidden="false" customHeight="true" outlineLevel="0" collapsed="false">
      <c r="A7" s="7" t="s">
        <v>17</v>
      </c>
      <c r="B7" s="7" t="s">
        <v>18</v>
      </c>
      <c r="C7" s="7" t="s">
        <v>19</v>
      </c>
      <c r="D7" s="7" t="s">
        <v>20</v>
      </c>
      <c r="E7" s="7" t="s">
        <v>14</v>
      </c>
      <c r="F7" s="7" t="s">
        <v>21</v>
      </c>
      <c r="G7" s="7" t="s">
        <v>16</v>
      </c>
    </row>
    <row r="9" customFormat="false" ht="13.5" hidden="false" customHeight="true" outlineLevel="0" collapsed="false">
      <c r="A9" s="4" t="s">
        <v>22</v>
      </c>
      <c r="B9" s="4"/>
      <c r="C9" s="4"/>
      <c r="D9" s="4"/>
      <c r="E9" s="4"/>
      <c r="F9" s="4"/>
      <c r="G9" s="4"/>
    </row>
    <row r="10" customFormat="false" ht="19.5" hidden="false" customHeight="true" outlineLevel="0" collapsed="false">
      <c r="A10" s="5" t="s">
        <v>23</v>
      </c>
      <c r="B10" s="5" t="s">
        <v>24</v>
      </c>
      <c r="C10" s="5" t="s">
        <v>25</v>
      </c>
      <c r="D10" s="5" t="s">
        <v>26</v>
      </c>
      <c r="E10" s="5" t="s">
        <v>27</v>
      </c>
      <c r="F10" s="5" t="s">
        <v>7</v>
      </c>
      <c r="G10" s="5" t="s">
        <v>28</v>
      </c>
    </row>
    <row r="11" customFormat="false" ht="36" hidden="false" customHeight="true" outlineLevel="0" collapsed="false">
      <c r="A11" s="6" t="s">
        <v>29</v>
      </c>
      <c r="B11" s="6" t="s">
        <v>30</v>
      </c>
      <c r="C11" s="6" t="s">
        <v>31</v>
      </c>
      <c r="D11" s="6" t="s">
        <v>32</v>
      </c>
      <c r="E11" s="6" t="s">
        <v>33</v>
      </c>
      <c r="F11" s="6" t="s">
        <v>14</v>
      </c>
      <c r="G11" s="6" t="s">
        <v>34</v>
      </c>
    </row>
    <row r="12" customFormat="false" ht="36" hidden="false" customHeight="true" outlineLevel="0" collapsed="false">
      <c r="A12" s="7" t="s">
        <v>35</v>
      </c>
      <c r="B12" s="7" t="s">
        <v>36</v>
      </c>
      <c r="C12" s="7" t="s">
        <v>37</v>
      </c>
      <c r="D12" s="7" t="s">
        <v>38</v>
      </c>
      <c r="E12" s="7" t="s">
        <v>39</v>
      </c>
      <c r="F12" s="7" t="s">
        <v>14</v>
      </c>
      <c r="G12" s="7" t="s">
        <v>40</v>
      </c>
    </row>
    <row r="13" customFormat="false" ht="36" hidden="false" customHeight="true" outlineLevel="0" collapsed="false">
      <c r="A13" s="6" t="s">
        <v>41</v>
      </c>
      <c r="B13" s="6" t="s">
        <v>42</v>
      </c>
      <c r="C13" s="6" t="s">
        <v>43</v>
      </c>
      <c r="D13" s="6" t="s">
        <v>44</v>
      </c>
      <c r="E13" s="6" t="s">
        <v>45</v>
      </c>
      <c r="F13" s="6" t="s">
        <v>14</v>
      </c>
      <c r="G13" s="6" t="s">
        <v>46</v>
      </c>
    </row>
    <row r="14" customFormat="false" ht="36" hidden="false" customHeight="true" outlineLevel="0" collapsed="false">
      <c r="A14" s="7" t="s">
        <v>47</v>
      </c>
      <c r="B14" s="7" t="s">
        <v>48</v>
      </c>
      <c r="C14" s="7" t="s">
        <v>49</v>
      </c>
      <c r="D14" s="7" t="s">
        <v>50</v>
      </c>
      <c r="E14" s="7" t="s">
        <v>51</v>
      </c>
      <c r="F14" s="7" t="s">
        <v>14</v>
      </c>
      <c r="G14" s="7" t="s">
        <v>52</v>
      </c>
    </row>
    <row r="15" customFormat="false" ht="36" hidden="false" customHeight="true" outlineLevel="0" collapsed="false">
      <c r="A15" s="6" t="s">
        <v>53</v>
      </c>
      <c r="B15" s="6" t="s">
        <v>54</v>
      </c>
      <c r="C15" s="6" t="s">
        <v>55</v>
      </c>
      <c r="D15" s="6" t="s">
        <v>56</v>
      </c>
      <c r="E15" s="6" t="s">
        <v>57</v>
      </c>
      <c r="F15" s="6" t="s">
        <v>14</v>
      </c>
      <c r="G15" s="6" t="s">
        <v>58</v>
      </c>
    </row>
    <row r="16" customFormat="false" ht="36" hidden="false" customHeight="true" outlineLevel="0" collapsed="false">
      <c r="A16" s="7" t="s">
        <v>59</v>
      </c>
      <c r="B16" s="7" t="s">
        <v>60</v>
      </c>
      <c r="C16" s="7" t="s">
        <v>31</v>
      </c>
      <c r="D16" s="7" t="s">
        <v>61</v>
      </c>
      <c r="E16" s="7" t="s">
        <v>62</v>
      </c>
      <c r="F16" s="7" t="s">
        <v>14</v>
      </c>
      <c r="G16" s="7" t="s">
        <v>63</v>
      </c>
    </row>
    <row r="18" customFormat="false" ht="13.5" hidden="false" customHeight="true" outlineLevel="0" collapsed="false">
      <c r="A18" s="4" t="s">
        <v>64</v>
      </c>
      <c r="B18" s="4"/>
      <c r="C18" s="4"/>
      <c r="D18" s="4"/>
      <c r="E18" s="4"/>
      <c r="F18" s="4"/>
      <c r="G18" s="4"/>
    </row>
    <row r="19" customFormat="false" ht="19.5" hidden="false" customHeight="true" outlineLevel="0" collapsed="false">
      <c r="A19" s="5" t="s">
        <v>23</v>
      </c>
      <c r="B19" s="5" t="s">
        <v>65</v>
      </c>
      <c r="C19" s="5" t="s">
        <v>66</v>
      </c>
      <c r="D19" s="5" t="s">
        <v>67</v>
      </c>
      <c r="E19" s="5" t="s">
        <v>68</v>
      </c>
      <c r="F19" s="5" t="s">
        <v>69</v>
      </c>
      <c r="G19" s="5" t="s">
        <v>28</v>
      </c>
    </row>
    <row r="20" customFormat="false" ht="31.5" hidden="false" customHeight="true" outlineLevel="0" collapsed="false">
      <c r="A20" s="8" t="s">
        <v>70</v>
      </c>
      <c r="B20" s="8" t="s">
        <v>71</v>
      </c>
      <c r="C20" s="8" t="s">
        <v>72</v>
      </c>
      <c r="D20" s="8" t="s">
        <v>73</v>
      </c>
      <c r="E20" s="8" t="s">
        <v>74</v>
      </c>
      <c r="F20" s="9" t="s">
        <v>75</v>
      </c>
      <c r="G20" s="8" t="s">
        <v>76</v>
      </c>
    </row>
    <row r="21" customFormat="false" ht="31.5" hidden="false" customHeight="true" outlineLevel="0" collapsed="false">
      <c r="A21" s="8" t="s">
        <v>70</v>
      </c>
      <c r="B21" s="8" t="s">
        <v>77</v>
      </c>
      <c r="C21" s="8" t="s">
        <v>72</v>
      </c>
      <c r="D21" s="8" t="s">
        <v>78</v>
      </c>
      <c r="E21" s="8" t="s">
        <v>79</v>
      </c>
      <c r="F21" s="9" t="s">
        <v>75</v>
      </c>
      <c r="G21" s="8" t="s">
        <v>80</v>
      </c>
    </row>
    <row r="22" customFormat="false" ht="31.5" hidden="false" customHeight="true" outlineLevel="0" collapsed="false">
      <c r="A22" s="10" t="s">
        <v>70</v>
      </c>
      <c r="B22" s="10" t="s">
        <v>81</v>
      </c>
      <c r="C22" s="10" t="s">
        <v>72</v>
      </c>
      <c r="D22" s="10" t="s">
        <v>82</v>
      </c>
      <c r="E22" s="10" t="s">
        <v>83</v>
      </c>
      <c r="F22" s="11" t="s">
        <v>84</v>
      </c>
      <c r="G22" s="10" t="s">
        <v>85</v>
      </c>
    </row>
    <row r="23" customFormat="false" ht="31.5" hidden="false" customHeight="true" outlineLevel="0" collapsed="false">
      <c r="A23" s="8" t="s">
        <v>53</v>
      </c>
      <c r="B23" s="8" t="s">
        <v>86</v>
      </c>
      <c r="C23" s="8" t="s">
        <v>87</v>
      </c>
      <c r="D23" s="8" t="s">
        <v>88</v>
      </c>
      <c r="E23" s="8" t="s">
        <v>89</v>
      </c>
      <c r="F23" s="9" t="s">
        <v>75</v>
      </c>
      <c r="G23" s="8" t="s">
        <v>90</v>
      </c>
    </row>
    <row r="25" customFormat="false" ht="13.5" hidden="false" customHeight="true" outlineLevel="0" collapsed="false">
      <c r="A25" s="4" t="s">
        <v>91</v>
      </c>
      <c r="B25" s="4"/>
      <c r="C25" s="4"/>
      <c r="D25" s="4"/>
      <c r="E25" s="4"/>
      <c r="F25" s="4"/>
      <c r="G25" s="4"/>
    </row>
    <row r="26" customFormat="false" ht="30" hidden="false" customHeight="true" outlineLevel="0" collapsed="false">
      <c r="A26" s="12" t="s">
        <v>92</v>
      </c>
      <c r="B26" s="13" t="s">
        <v>93</v>
      </c>
      <c r="C26" s="13"/>
      <c r="D26" s="13"/>
      <c r="E26" s="13"/>
      <c r="F26" s="13"/>
      <c r="G26" s="13"/>
    </row>
    <row r="27" customFormat="false" ht="30" hidden="false" customHeight="true" outlineLevel="0" collapsed="false">
      <c r="A27" s="12" t="s">
        <v>94</v>
      </c>
      <c r="B27" s="14" t="s">
        <v>95</v>
      </c>
      <c r="C27" s="14"/>
      <c r="D27" s="14"/>
      <c r="E27" s="14"/>
      <c r="F27" s="14"/>
      <c r="G27" s="14"/>
    </row>
    <row r="28" customFormat="false" ht="30" hidden="false" customHeight="true" outlineLevel="0" collapsed="false">
      <c r="A28" s="12" t="s">
        <v>96</v>
      </c>
      <c r="B28" s="13" t="s">
        <v>97</v>
      </c>
      <c r="C28" s="13"/>
      <c r="D28" s="13"/>
      <c r="E28" s="13"/>
      <c r="F28" s="13"/>
      <c r="G28" s="13"/>
    </row>
    <row r="29" customFormat="false" ht="30" hidden="false" customHeight="true" outlineLevel="0" collapsed="false">
      <c r="A29" s="12" t="s">
        <v>98</v>
      </c>
      <c r="B29" s="14" t="s">
        <v>99</v>
      </c>
      <c r="C29" s="14"/>
      <c r="D29" s="14"/>
      <c r="E29" s="14"/>
      <c r="F29" s="14"/>
      <c r="G29" s="14"/>
    </row>
    <row r="30" customFormat="false" ht="30" hidden="false" customHeight="true" outlineLevel="0" collapsed="false">
      <c r="A30" s="12" t="s">
        <v>100</v>
      </c>
      <c r="B30" s="13" t="s">
        <v>101</v>
      </c>
      <c r="C30" s="13"/>
      <c r="D30" s="13"/>
      <c r="E30" s="13"/>
      <c r="F30" s="13"/>
      <c r="G30" s="13"/>
    </row>
    <row r="31" customFormat="false" ht="30" hidden="false" customHeight="true" outlineLevel="0" collapsed="false">
      <c r="A31" s="12" t="s">
        <v>102</v>
      </c>
      <c r="B31" s="14" t="s">
        <v>103</v>
      </c>
      <c r="C31" s="14"/>
      <c r="D31" s="14"/>
      <c r="E31" s="14"/>
      <c r="F31" s="14"/>
      <c r="G31" s="14"/>
    </row>
    <row r="33" customFormat="false" ht="13.5" hidden="false" customHeight="true" outlineLevel="0" collapsed="false">
      <c r="A33" s="15" t="s">
        <v>104</v>
      </c>
      <c r="B33" s="15"/>
      <c r="C33" s="15"/>
      <c r="D33" s="15"/>
      <c r="E33" s="15"/>
      <c r="F33" s="15"/>
      <c r="G33" s="15"/>
    </row>
  </sheetData>
  <mergeCells count="13">
    <mergeCell ref="A1:G1"/>
    <mergeCell ref="A2:G2"/>
    <mergeCell ref="A4:G4"/>
    <mergeCell ref="A9:G9"/>
    <mergeCell ref="A18:G18"/>
    <mergeCell ref="A25:G25"/>
    <mergeCell ref="B26:G26"/>
    <mergeCell ref="B27:G27"/>
    <mergeCell ref="B28:G28"/>
    <mergeCell ref="B29:G29"/>
    <mergeCell ref="B30:G30"/>
    <mergeCell ref="B31:G31"/>
    <mergeCell ref="A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F8A"/>
    <pageSetUpPr fitToPage="true"/>
  </sheetPr>
  <dimension ref="A1:L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  <col collapsed="false" customWidth="true" hidden="false" outlineLevel="0" max="4" min="3" style="1" width="18"/>
    <col collapsed="false" customWidth="true" hidden="false" outlineLevel="0" max="5" min="5" style="1" width="16"/>
    <col collapsed="false" customWidth="true" hidden="false" outlineLevel="0" max="7" min="6" style="1" width="18"/>
    <col collapsed="false" customWidth="true" hidden="false" outlineLevel="0" max="8" min="8" style="1" width="16"/>
    <col collapsed="false" customWidth="true" hidden="false" outlineLevel="0" max="9" min="9" style="1" width="20"/>
    <col collapsed="false" customWidth="true" hidden="false" outlineLevel="0" max="10" min="10" style="1" width="14"/>
    <col collapsed="false" customWidth="true" hidden="false" outlineLevel="0" max="12" min="11" style="1" width="16"/>
  </cols>
  <sheetData>
    <row r="1" customFormat="false" ht="31.5" hidden="false" customHeight="true" outlineLevel="0" collapsed="false">
      <c r="A1" s="16" t="s">
        <v>105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customFormat="false" ht="18" hidden="false" customHeight="true" outlineLevel="0" collapsed="false">
      <c r="A2" s="3" t="s">
        <v>106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.75" hidden="false" customHeight="true" outlineLevel="0" collapsed="false">
      <c r="A3" s="17" t="s">
        <v>107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customFormat="false" ht="27.75" hidden="false" customHeight="true" outlineLevel="0" collapsed="false">
      <c r="A4" s="18" t="s">
        <v>23</v>
      </c>
      <c r="B4" s="18" t="s">
        <v>108</v>
      </c>
      <c r="C4" s="18" t="s">
        <v>109</v>
      </c>
      <c r="D4" s="18" t="s">
        <v>110</v>
      </c>
      <c r="E4" s="18" t="s">
        <v>111</v>
      </c>
      <c r="F4" s="18" t="s">
        <v>112</v>
      </c>
      <c r="G4" s="18" t="s">
        <v>113</v>
      </c>
      <c r="H4" s="18" t="s">
        <v>71</v>
      </c>
      <c r="I4" s="18" t="s">
        <v>114</v>
      </c>
      <c r="J4" s="18" t="s">
        <v>115</v>
      </c>
      <c r="K4" s="18" t="s">
        <v>116</v>
      </c>
      <c r="L4" s="18" t="s">
        <v>81</v>
      </c>
    </row>
    <row r="5" customFormat="false" ht="18" hidden="false" customHeight="true" outlineLevel="0" collapsed="false">
      <c r="A5" s="19" t="s">
        <v>29</v>
      </c>
      <c r="B5" s="20" t="n">
        <v>10003</v>
      </c>
      <c r="C5" s="21" t="n">
        <v>23494793</v>
      </c>
      <c r="D5" s="21" t="n">
        <v>23726200</v>
      </c>
      <c r="E5" s="21" t="n">
        <v>815484</v>
      </c>
      <c r="F5" s="21" t="n">
        <v>406</v>
      </c>
      <c r="G5" s="21" t="n">
        <v>478</v>
      </c>
      <c r="H5" s="22" t="n">
        <v>415</v>
      </c>
      <c r="I5" s="23" t="n">
        <v>477756069</v>
      </c>
      <c r="J5" s="24" t="n">
        <v>0.9315</v>
      </c>
      <c r="K5" s="21" t="n">
        <v>22</v>
      </c>
      <c r="L5" s="21" t="n">
        <v>900</v>
      </c>
    </row>
    <row r="6" customFormat="false" ht="18" hidden="false" customHeight="true" outlineLevel="0" collapsed="false">
      <c r="A6" s="19" t="s">
        <v>35</v>
      </c>
      <c r="B6" s="20" t="n">
        <v>20080</v>
      </c>
      <c r="C6" s="25" t="n">
        <v>53763513</v>
      </c>
      <c r="D6" s="25" t="n">
        <v>59506194</v>
      </c>
      <c r="E6" s="25" t="n">
        <v>1833517</v>
      </c>
      <c r="F6" s="25" t="n">
        <v>866</v>
      </c>
      <c r="G6" s="25" t="n">
        <v>1305</v>
      </c>
      <c r="H6" s="26" t="n">
        <v>1010</v>
      </c>
      <c r="I6" s="27" t="n">
        <v>1315131399</v>
      </c>
      <c r="J6" s="28" t="n">
        <v>0.921</v>
      </c>
      <c r="K6" s="25" t="n">
        <v>34</v>
      </c>
      <c r="L6" s="25" t="n">
        <v>1100</v>
      </c>
    </row>
    <row r="7" customFormat="false" ht="18" hidden="false" customHeight="true" outlineLevel="0" collapsed="false">
      <c r="A7" s="19" t="s">
        <v>41</v>
      </c>
      <c r="B7" s="20" t="n">
        <v>30019</v>
      </c>
      <c r="C7" s="21" t="n">
        <v>19103554</v>
      </c>
      <c r="D7" s="21" t="n">
        <v>16787553</v>
      </c>
      <c r="E7" s="21" t="n">
        <v>852588</v>
      </c>
      <c r="F7" s="21" t="n">
        <v>306</v>
      </c>
      <c r="G7" s="21" t="n">
        <v>411</v>
      </c>
      <c r="H7" s="22" t="n">
        <v>280</v>
      </c>
      <c r="I7" s="23" t="n">
        <v>316404808</v>
      </c>
      <c r="J7" s="24" t="n">
        <v>0.879</v>
      </c>
      <c r="K7" s="21" t="n">
        <v>18</v>
      </c>
      <c r="L7" s="21" t="n">
        <v>850</v>
      </c>
    </row>
    <row r="8" customFormat="false" ht="18" hidden="false" customHeight="true" outlineLevel="0" collapsed="false">
      <c r="A8" s="19" t="s">
        <v>47</v>
      </c>
      <c r="B8" s="20" t="n">
        <v>30034</v>
      </c>
      <c r="C8" s="25" t="n">
        <v>3376837</v>
      </c>
      <c r="D8" s="25" t="n">
        <v>6357532</v>
      </c>
      <c r="E8" s="25" t="n">
        <v>168433</v>
      </c>
      <c r="F8" s="25" t="n">
        <v>149</v>
      </c>
      <c r="G8" s="25" t="n">
        <v>201</v>
      </c>
      <c r="H8" s="26" t="n">
        <v>187</v>
      </c>
      <c r="I8" s="27" t="n">
        <v>158318593</v>
      </c>
      <c r="J8" s="28" t="n">
        <v>0.9</v>
      </c>
      <c r="K8" s="25" t="n">
        <v>12</v>
      </c>
      <c r="L8" s="25" t="n">
        <v>800</v>
      </c>
    </row>
    <row r="9" customFormat="false" ht="18" hidden="false" customHeight="true" outlineLevel="0" collapsed="false">
      <c r="A9" s="19" t="s">
        <v>53</v>
      </c>
      <c r="B9" s="20" t="n">
        <v>50118</v>
      </c>
      <c r="C9" s="21" t="n">
        <v>31988076</v>
      </c>
      <c r="D9" s="21" t="n">
        <v>43163928</v>
      </c>
      <c r="E9" s="21" t="n">
        <v>1457897</v>
      </c>
      <c r="F9" s="21" t="n">
        <v>912</v>
      </c>
      <c r="G9" s="21" t="n">
        <v>1475</v>
      </c>
      <c r="H9" s="22" t="n">
        <v>1140</v>
      </c>
      <c r="I9" s="23" t="n">
        <v>896609102</v>
      </c>
      <c r="J9" s="24" t="n">
        <v>0.95</v>
      </c>
      <c r="K9" s="21" t="n">
        <v>15</v>
      </c>
      <c r="L9" s="21" t="n">
        <v>950</v>
      </c>
    </row>
    <row r="10" customFormat="false" ht="18" hidden="false" customHeight="true" outlineLevel="0" collapsed="false">
      <c r="A10" s="19" t="s">
        <v>59</v>
      </c>
      <c r="B10" s="20" t="n">
        <v>90134</v>
      </c>
      <c r="C10" s="25" t="n">
        <v>7012116</v>
      </c>
      <c r="D10" s="25" t="n">
        <v>6800628</v>
      </c>
      <c r="E10" s="25" t="n">
        <v>214153</v>
      </c>
      <c r="F10" s="25" t="n">
        <v>85</v>
      </c>
      <c r="G10" s="25" t="n">
        <v>133</v>
      </c>
      <c r="H10" s="26" t="n">
        <v>77</v>
      </c>
      <c r="I10" s="27" t="n">
        <v>172893335</v>
      </c>
      <c r="J10" s="28" t="n">
        <v>0.92</v>
      </c>
      <c r="K10" s="25" t="n">
        <v>10</v>
      </c>
      <c r="L10" s="25" t="n">
        <v>700</v>
      </c>
    </row>
    <row r="11" customFormat="false" ht="13.5" hidden="false" customHeight="true" outlineLevel="0" collapsed="false">
      <c r="A11" s="29" t="s">
        <v>117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</row>
    <row r="13" customFormat="false" ht="13.5" hidden="false" customHeight="true" outlineLevel="0" collapsed="false">
      <c r="A13" s="30" t="s">
        <v>118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</row>
    <row r="14" customFormat="false" ht="13.5" hidden="false" customHeight="true" outlineLevel="0" collapsed="false">
      <c r="A14" s="31" t="s">
        <v>119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</row>
    <row r="15" customFormat="false" ht="13.5" hidden="false" customHeight="true" outlineLevel="0" collapsed="false">
      <c r="A15" s="31" t="s">
        <v>120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</row>
    <row r="16" customFormat="false" ht="13.5" hidden="false" customHeight="true" outlineLevel="0" collapsed="false">
      <c r="A16" s="31" t="s">
        <v>121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</row>
    <row r="17" customFormat="false" ht="13.5" hidden="false" customHeight="true" outlineLevel="0" collapsed="false">
      <c r="A17" s="31" t="s">
        <v>122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</row>
    <row r="18" customFormat="false" ht="13.5" hidden="false" customHeight="true" outlineLevel="0" collapsed="false">
      <c r="A18" s="31" t="s">
        <v>123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</row>
  </sheetData>
  <mergeCells count="10">
    <mergeCell ref="A1:L1"/>
    <mergeCell ref="A2:L2"/>
    <mergeCell ref="A3:L3"/>
    <mergeCell ref="A11:L11"/>
    <mergeCell ref="A13:L13"/>
    <mergeCell ref="A14:L14"/>
    <mergeCell ref="A15:L15"/>
    <mergeCell ref="A16:L16"/>
    <mergeCell ref="A17:L17"/>
    <mergeCell ref="A18:L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0"/>
    <col collapsed="false" customWidth="true" hidden="false" outlineLevel="0" max="4" min="3" style="1" width="18"/>
    <col collapsed="false" customWidth="true" hidden="false" outlineLevel="0" max="6" min="5" style="1" width="20"/>
    <col collapsed="false" customWidth="true" hidden="false" outlineLevel="0" max="7" min="7" style="1" width="16"/>
    <col collapsed="false" customWidth="true" hidden="false" outlineLevel="0" max="8" min="8" style="1" width="18"/>
    <col collapsed="false" customWidth="true" hidden="false" outlineLevel="0" max="9" min="9" style="1" width="16"/>
  </cols>
  <sheetData>
    <row r="1" customFormat="false" ht="31.5" hidden="false" customHeight="true" outlineLevel="0" collapsed="false">
      <c r="A1" s="16" t="s">
        <v>124</v>
      </c>
      <c r="B1" s="16"/>
      <c r="C1" s="16"/>
      <c r="D1" s="16"/>
      <c r="E1" s="16"/>
      <c r="F1" s="16"/>
      <c r="G1" s="16"/>
      <c r="H1" s="16"/>
      <c r="I1" s="16"/>
    </row>
    <row r="2" customFormat="false" ht="18" hidden="false" customHeight="true" outlineLevel="0" collapsed="false">
      <c r="A2" s="3" t="s">
        <v>125</v>
      </c>
      <c r="B2" s="3"/>
      <c r="C2" s="3"/>
      <c r="D2" s="3"/>
      <c r="E2" s="3"/>
      <c r="F2" s="3"/>
      <c r="G2" s="3"/>
      <c r="H2" s="3"/>
      <c r="I2" s="3"/>
    </row>
    <row r="4" customFormat="false" ht="27.75" hidden="false" customHeight="true" outlineLevel="0" collapsed="false">
      <c r="A4" s="18" t="s">
        <v>23</v>
      </c>
      <c r="B4" s="18" t="s">
        <v>126</v>
      </c>
      <c r="C4" s="18" t="s">
        <v>127</v>
      </c>
      <c r="D4" s="18" t="s">
        <v>128</v>
      </c>
      <c r="E4" s="18" t="s">
        <v>129</v>
      </c>
      <c r="F4" s="18" t="s">
        <v>130</v>
      </c>
      <c r="G4" s="18" t="s">
        <v>115</v>
      </c>
      <c r="H4" s="18" t="s">
        <v>131</v>
      </c>
      <c r="I4" s="18" t="s">
        <v>132</v>
      </c>
    </row>
    <row r="5" customFormat="false" ht="18" hidden="false" customHeight="true" outlineLevel="0" collapsed="false">
      <c r="A5" s="32" t="str">
        <f aca="false">1_Raw_Data!A5</f>
        <v>MBTA</v>
      </c>
      <c r="B5" s="33" t="n">
        <f aca="false">IFERROR(1_Raw_Data!C5/1_Raw_Data!H5,"-")</f>
        <v>56613.9590361446</v>
      </c>
      <c r="C5" s="34" t="n">
        <f aca="false">IFERROR(1_Raw_Data!F5/1_Raw_Data!G5,"-")</f>
        <v>0.849372384937239</v>
      </c>
      <c r="D5" s="35" t="n">
        <f aca="false">IFERROR(1_Raw_Data!I5/1_Raw_Data!C5,"-")</f>
        <v>20.3345511067069</v>
      </c>
      <c r="E5" s="36" t="n">
        <f aca="false">IFERROR(1_Raw_Data!D5/1_Raw_Data!H5,"-")</f>
        <v>57171.5662650602</v>
      </c>
      <c r="F5" s="33" t="n">
        <f aca="false">IFERROR(1_Raw_Data!C5/1_Raw_Data!E5,"-")</f>
        <v>28.8108571106239</v>
      </c>
      <c r="G5" s="34" t="n">
        <f aca="false">1_Raw_Data!J5</f>
        <v>0.9315</v>
      </c>
      <c r="H5" s="33" t="n">
        <f aca="false">IFERROR(1_Raw_Data!K5*1_Raw_Data!L5,"-")</f>
        <v>19800</v>
      </c>
      <c r="I5" s="37" t="n">
        <f aca="false">IFERROR(ROUND((RANK(B5,B$5:B$10,1)-1)/5*25 + (RANK(C5,C$5:C$10,1)-1)/5*15 + (RANK(D5,D$5:D$10,0)-1)/5*20 + (RANK(E5,E$5:E$10,1)-1)/5*15 + (RANK(F5,F$5:F$10,1)-1)/5*15 + (RANK(G5,G$5:G$10,1)-1)/5*10,1),"-")</f>
        <v>69</v>
      </c>
    </row>
    <row r="6" customFormat="false" ht="18" hidden="false" customHeight="true" outlineLevel="0" collapsed="false">
      <c r="A6" s="32" t="str">
        <f aca="false">1_Raw_Data!A6</f>
        <v>NJ Transit</v>
      </c>
      <c r="B6" s="38" t="n">
        <f aca="false">IFERROR(1_Raw_Data!C6/1_Raw_Data!H6,"-")</f>
        <v>53231.200990099</v>
      </c>
      <c r="C6" s="39" t="n">
        <f aca="false">IFERROR(1_Raw_Data!F6/1_Raw_Data!G6,"-")</f>
        <v>0.66360153256705</v>
      </c>
      <c r="D6" s="40" t="n">
        <f aca="false">IFERROR(1_Raw_Data!I6/1_Raw_Data!C6,"-")</f>
        <v>24.4614111990785</v>
      </c>
      <c r="E6" s="41" t="n">
        <f aca="false">IFERROR(1_Raw_Data!D6/1_Raw_Data!H6,"-")</f>
        <v>58917.0237623762</v>
      </c>
      <c r="F6" s="38" t="n">
        <f aca="false">IFERROR(1_Raw_Data!C6/1_Raw_Data!E6,"-")</f>
        <v>29.3226149525748</v>
      </c>
      <c r="G6" s="39" t="n">
        <f aca="false">1_Raw_Data!J6</f>
        <v>0.921</v>
      </c>
      <c r="H6" s="38" t="n">
        <f aca="false">IFERROR(1_Raw_Data!K6*1_Raw_Data!L6,"-")</f>
        <v>37400</v>
      </c>
      <c r="I6" s="42" t="n">
        <f aca="false">IFERROR(ROUND((RANK(B6,B$5:B$10,1)-1)/5*25 + (RANK(C6,C$5:C$10,1)-1)/5*15 + (RANK(D6,D$5:D$10,0)-1)/5*20 + (RANK(E6,E$5:E$10,1)-1)/5*15 + (RANK(F6,F$5:F$10,1)-1)/5*15 + (RANK(G6,G$5:G$10,1)-1)/5*10,1),"-")</f>
        <v>55</v>
      </c>
    </row>
    <row r="7" customFormat="false" ht="18" hidden="false" customHeight="true" outlineLevel="0" collapsed="false">
      <c r="A7" s="32" t="str">
        <f aca="false">1_Raw_Data!A7</f>
        <v>SEPTA</v>
      </c>
      <c r="B7" s="33" t="n">
        <f aca="false">IFERROR(1_Raw_Data!C7/1_Raw_Data!H7,"-")</f>
        <v>68226.9785714286</v>
      </c>
      <c r="C7" s="34" t="n">
        <f aca="false">IFERROR(1_Raw_Data!F7/1_Raw_Data!G7,"-")</f>
        <v>0.744525547445256</v>
      </c>
      <c r="D7" s="35" t="n">
        <f aca="false">IFERROR(1_Raw_Data!I7/1_Raw_Data!C7,"-")</f>
        <v>16.5626148935428</v>
      </c>
      <c r="E7" s="36" t="n">
        <f aca="false">IFERROR(1_Raw_Data!D7/1_Raw_Data!H7,"-")</f>
        <v>59955.5464285714</v>
      </c>
      <c r="F7" s="33" t="n">
        <f aca="false">IFERROR(1_Raw_Data!C7/1_Raw_Data!E7,"-")</f>
        <v>22.4065480630738</v>
      </c>
      <c r="G7" s="34" t="n">
        <f aca="false">1_Raw_Data!J7</f>
        <v>0.879</v>
      </c>
      <c r="H7" s="33" t="n">
        <f aca="false">IFERROR(1_Raw_Data!K7*1_Raw_Data!L7,"-")</f>
        <v>15300</v>
      </c>
      <c r="I7" s="37" t="n">
        <f aca="false">IFERROR(ROUND((RANK(B7,B$5:B$10,1)-1)/5*25 + (RANK(C7,C$5:C$10,1)-1)/5*15 + (RANK(D7,D$5:D$10,0)-1)/5*20 + (RANK(E7,E$5:E$10,1)-1)/5*15 + (RANK(F7,F$5:F$10,1)-1)/5*15 + (RANK(G7,G$5:G$10,1)-1)/5*10,1),"-")</f>
        <v>70</v>
      </c>
    </row>
    <row r="8" customFormat="false" ht="18" hidden="false" customHeight="true" outlineLevel="0" collapsed="false">
      <c r="A8" s="32" t="str">
        <f aca="false">1_Raw_Data!A8</f>
        <v>MARC</v>
      </c>
      <c r="B8" s="38" t="n">
        <f aca="false">IFERROR(1_Raw_Data!C8/1_Raw_Data!H8,"-")</f>
        <v>18057.9518716578</v>
      </c>
      <c r="C8" s="39" t="n">
        <f aca="false">IFERROR(1_Raw_Data!F8/1_Raw_Data!G8,"-")</f>
        <v>0.741293532338308</v>
      </c>
      <c r="D8" s="40" t="n">
        <f aca="false">IFERROR(1_Raw_Data!I8/1_Raw_Data!C8,"-")</f>
        <v>46.8836941196747</v>
      </c>
      <c r="E8" s="41" t="n">
        <f aca="false">IFERROR(1_Raw_Data!D8/1_Raw_Data!H8,"-")</f>
        <v>33997.4973262032</v>
      </c>
      <c r="F8" s="38" t="n">
        <f aca="false">IFERROR(1_Raw_Data!C8/1_Raw_Data!E8,"-")</f>
        <v>20.0485474936622</v>
      </c>
      <c r="G8" s="39" t="n">
        <f aca="false">1_Raw_Data!J8</f>
        <v>0.9</v>
      </c>
      <c r="H8" s="38" t="n">
        <f aca="false">IFERROR(1_Raw_Data!K8*1_Raw_Data!L8,"-")</f>
        <v>9600</v>
      </c>
      <c r="I8" s="42" t="n">
        <f aca="false">IFERROR(ROUND((RANK(B8,B$5:B$10,1)-1)/5*25 + (RANK(C8,C$5:C$10,1)-1)/5*15 + (RANK(D8,D$5:D$10,0)-1)/5*20 + (RANK(E8,E$5:E$10,1)-1)/5*15 + (RANK(F8,F$5:F$10,1)-1)/5*15 + (RANK(G8,G$5:G$10,1)-1)/5*10,1),"-")</f>
        <v>11</v>
      </c>
    </row>
    <row r="9" customFormat="false" ht="18" hidden="false" customHeight="true" outlineLevel="0" collapsed="false">
      <c r="A9" s="32" t="str">
        <f aca="false">1_Raw_Data!A9</f>
        <v>Metra</v>
      </c>
      <c r="B9" s="33" t="n">
        <f aca="false">IFERROR(1_Raw_Data!C9/1_Raw_Data!H9,"-")</f>
        <v>28059.7157894737</v>
      </c>
      <c r="C9" s="34" t="n">
        <f aca="false">IFERROR(1_Raw_Data!F9/1_Raw_Data!G9,"-")</f>
        <v>0.618305084745763</v>
      </c>
      <c r="D9" s="35" t="n">
        <f aca="false">IFERROR(1_Raw_Data!I9/1_Raw_Data!C9,"-")</f>
        <v>28.0294789220833</v>
      </c>
      <c r="E9" s="36" t="n">
        <f aca="false">IFERROR(1_Raw_Data!D9/1_Raw_Data!H9,"-")</f>
        <v>37863.0947368421</v>
      </c>
      <c r="F9" s="33" t="n">
        <f aca="false">IFERROR(1_Raw_Data!C9/1_Raw_Data!E9,"-")</f>
        <v>21.9412455063698</v>
      </c>
      <c r="G9" s="34" t="n">
        <f aca="false">1_Raw_Data!J9</f>
        <v>0.95</v>
      </c>
      <c r="H9" s="33" t="n">
        <f aca="false">IFERROR(1_Raw_Data!K9*1_Raw_Data!L9,"-")</f>
        <v>14250</v>
      </c>
      <c r="I9" s="37" t="n">
        <f aca="false">IFERROR(ROUND((RANK(B9,B$5:B$10,1)-1)/5*25 + (RANK(C9,C$5:C$10,1)-1)/5*15 + (RANK(D9,D$5:D$10,0)-1)/5*20 + (RANK(E9,E$5:E$10,1)-1)/5*15 + (RANK(F9,F$5:F$10,1)-1)/5*15 + (RANK(G9,G$5:G$10,1)-1)/5*10,1),"-")</f>
        <v>25</v>
      </c>
    </row>
    <row r="10" customFormat="false" ht="18" hidden="false" customHeight="true" outlineLevel="0" collapsed="false">
      <c r="A10" s="32" t="str">
        <f aca="false">1_Raw_Data!A10</f>
        <v>Caltrain</v>
      </c>
      <c r="B10" s="38" t="n">
        <f aca="false">IFERROR(1_Raw_Data!C10/1_Raw_Data!H10,"-")</f>
        <v>91066.4415584416</v>
      </c>
      <c r="C10" s="39" t="n">
        <f aca="false">IFERROR(1_Raw_Data!F10/1_Raw_Data!G10,"-")</f>
        <v>0.639097744360902</v>
      </c>
      <c r="D10" s="40" t="n">
        <f aca="false">IFERROR(1_Raw_Data!I10/1_Raw_Data!C10,"-")</f>
        <v>24.6563712009328</v>
      </c>
      <c r="E10" s="41" t="n">
        <f aca="false">IFERROR(1_Raw_Data!D10/1_Raw_Data!H10,"-")</f>
        <v>88319.8441558442</v>
      </c>
      <c r="F10" s="38" t="n">
        <f aca="false">IFERROR(1_Raw_Data!C10/1_Raw_Data!E10,"-")</f>
        <v>32.7434871330311</v>
      </c>
      <c r="G10" s="39" t="n">
        <f aca="false">1_Raw_Data!J10</f>
        <v>0.92</v>
      </c>
      <c r="H10" s="38" t="n">
        <f aca="false">IFERROR(1_Raw_Data!K10*1_Raw_Data!L10,"-")</f>
        <v>7000</v>
      </c>
      <c r="I10" s="42" t="n">
        <f aca="false">IFERROR(ROUND((RANK(B10,B$5:B$10,1)-1)/5*25 + (RANK(C10,C$5:C$10,1)-1)/5*15 + (RANK(D10,D$5:D$10,0)-1)/5*20 + (RANK(E10,E$5:E$10,1)-1)/5*15 + (RANK(F10,F$5:F$10,1)-1)/5*15 + (RANK(G10,G$5:G$10,1)-1)/5*10,1),"-")</f>
        <v>70</v>
      </c>
    </row>
    <row r="12" customFormat="false" ht="13.5" hidden="false" customHeight="true" outlineLevel="0" collapsed="false">
      <c r="A12" s="30" t="s">
        <v>133</v>
      </c>
      <c r="B12" s="30"/>
      <c r="C12" s="30"/>
      <c r="D12" s="30"/>
      <c r="E12" s="30"/>
      <c r="F12" s="30"/>
      <c r="G12" s="30"/>
      <c r="H12" s="30"/>
      <c r="I12" s="30"/>
    </row>
    <row r="13" customFormat="false" ht="13.5" hidden="false" customHeight="true" outlineLevel="0" collapsed="false">
      <c r="A13" s="43" t="s">
        <v>134</v>
      </c>
      <c r="B13" s="44" t="s">
        <v>135</v>
      </c>
      <c r="C13" s="45" t="s">
        <v>136</v>
      </c>
      <c r="D13" s="45"/>
      <c r="E13" s="45"/>
      <c r="F13" s="45"/>
      <c r="G13" s="45"/>
      <c r="H13" s="45"/>
      <c r="I13" s="45"/>
    </row>
    <row r="14" customFormat="false" ht="13.5" hidden="false" customHeight="true" outlineLevel="0" collapsed="false">
      <c r="A14" s="43" t="s">
        <v>137</v>
      </c>
      <c r="B14" s="44" t="s">
        <v>138</v>
      </c>
      <c r="C14" s="45" t="s">
        <v>139</v>
      </c>
      <c r="D14" s="45"/>
      <c r="E14" s="45"/>
      <c r="F14" s="45"/>
      <c r="G14" s="45"/>
      <c r="H14" s="45"/>
      <c r="I14" s="45"/>
    </row>
    <row r="15" customFormat="false" ht="13.5" hidden="false" customHeight="true" outlineLevel="0" collapsed="false">
      <c r="A15" s="43" t="s">
        <v>140</v>
      </c>
      <c r="B15" s="44" t="s">
        <v>141</v>
      </c>
      <c r="C15" s="45" t="s">
        <v>142</v>
      </c>
      <c r="D15" s="45"/>
      <c r="E15" s="45"/>
      <c r="F15" s="45"/>
      <c r="G15" s="45"/>
      <c r="H15" s="45"/>
      <c r="I15" s="45"/>
    </row>
    <row r="16" customFormat="false" ht="13.5" hidden="false" customHeight="true" outlineLevel="0" collapsed="false">
      <c r="A16" s="43" t="s">
        <v>143</v>
      </c>
      <c r="B16" s="44" t="s">
        <v>141</v>
      </c>
      <c r="C16" s="45" t="s">
        <v>144</v>
      </c>
      <c r="D16" s="45"/>
      <c r="E16" s="45"/>
      <c r="F16" s="45"/>
      <c r="G16" s="45"/>
      <c r="H16" s="45"/>
      <c r="I16" s="45"/>
    </row>
    <row r="17" customFormat="false" ht="13.5" hidden="false" customHeight="true" outlineLevel="0" collapsed="false">
      <c r="A17" s="43" t="s">
        <v>145</v>
      </c>
      <c r="B17" s="44" t="s">
        <v>141</v>
      </c>
      <c r="C17" s="45" t="s">
        <v>146</v>
      </c>
      <c r="D17" s="45"/>
      <c r="E17" s="45"/>
      <c r="F17" s="45"/>
      <c r="G17" s="45"/>
      <c r="H17" s="45"/>
      <c r="I17" s="45"/>
    </row>
    <row r="18" customFormat="false" ht="13.5" hidden="false" customHeight="true" outlineLevel="0" collapsed="false">
      <c r="A18" s="43" t="s">
        <v>147</v>
      </c>
      <c r="B18" s="44" t="s">
        <v>148</v>
      </c>
      <c r="C18" s="45" t="s">
        <v>149</v>
      </c>
      <c r="D18" s="45"/>
      <c r="E18" s="45"/>
      <c r="F18" s="45"/>
      <c r="G18" s="45"/>
      <c r="H18" s="45"/>
      <c r="I18" s="45"/>
    </row>
  </sheetData>
  <mergeCells count="9">
    <mergeCell ref="A1:I1"/>
    <mergeCell ref="A2:I2"/>
    <mergeCell ref="A12:I12"/>
    <mergeCell ref="C13:I13"/>
    <mergeCell ref="C14:I14"/>
    <mergeCell ref="C15:I15"/>
    <mergeCell ref="C16:I16"/>
    <mergeCell ref="C17:I17"/>
    <mergeCell ref="C18:I18"/>
  </mergeCells>
  <conditionalFormatting sqref="I5:I10">
    <cfRule type="colorScale" priority="2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G5:G10">
    <cfRule type="colorScale" priority="3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D5:D10">
    <cfRule type="colorScale" priority="4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6221"/>
    <pageSetUpPr fitToPage="tru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7" min="6" style="1" width="16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0" min="10" style="1" width="12"/>
  </cols>
  <sheetData>
    <row r="1" customFormat="false" ht="31.5" hidden="false" customHeight="true" outlineLevel="0" collapsed="false">
      <c r="A1" s="16" t="s">
        <v>150</v>
      </c>
      <c r="B1" s="16"/>
      <c r="C1" s="16"/>
      <c r="D1" s="16"/>
      <c r="E1" s="16"/>
      <c r="F1" s="16"/>
      <c r="G1" s="16"/>
      <c r="H1" s="16"/>
      <c r="I1" s="16"/>
      <c r="J1" s="16"/>
    </row>
    <row r="2" customFormat="false" ht="18" hidden="false" customHeight="true" outlineLevel="0" collapsed="false">
      <c r="A2" s="3" t="s">
        <v>151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9.5" hidden="false" customHeight="true" outlineLevel="0" collapsed="false">
      <c r="A3" s="46" t="s">
        <v>152</v>
      </c>
      <c r="B3" s="46"/>
      <c r="C3" s="46"/>
      <c r="D3" s="46"/>
      <c r="E3" s="46"/>
      <c r="F3" s="46"/>
      <c r="G3" s="46"/>
      <c r="H3" s="46"/>
      <c r="I3" s="46"/>
      <c r="J3" s="46"/>
    </row>
    <row r="5" customFormat="false" ht="27.75" hidden="false" customHeight="true" outlineLevel="0" collapsed="false">
      <c r="A5" s="18" t="s">
        <v>23</v>
      </c>
      <c r="B5" s="18" t="s">
        <v>153</v>
      </c>
      <c r="C5" s="18" t="s">
        <v>154</v>
      </c>
      <c r="D5" s="18" t="s">
        <v>155</v>
      </c>
      <c r="E5" s="18" t="s">
        <v>156</v>
      </c>
      <c r="F5" s="18" t="s">
        <v>157</v>
      </c>
      <c r="G5" s="18" t="s">
        <v>158</v>
      </c>
      <c r="H5" s="18" t="s">
        <v>159</v>
      </c>
      <c r="I5" s="18" t="s">
        <v>160</v>
      </c>
      <c r="J5" s="18" t="s">
        <v>161</v>
      </c>
    </row>
    <row r="6" customFormat="false" ht="19.5" hidden="false" customHeight="true" outlineLevel="0" collapsed="false">
      <c r="A6" s="32" t="str">
        <f aca="false">2_Calculated_KPIs!A5</f>
        <v>MBTA</v>
      </c>
      <c r="B6" s="47" t="s">
        <v>162</v>
      </c>
      <c r="C6" s="48" t="n">
        <f aca="false">IFERROR(RANK(2_Calculated_KPIs!B5,2_Calculated_KPIs!B$5:B$10,0),"-")</f>
        <v>3</v>
      </c>
      <c r="D6" s="48" t="n">
        <f aca="false">IFERROR(RANK(2_Calculated_KPIs!C5,2_Calculated_KPIs!C$5:C$10,0),"-")</f>
        <v>1</v>
      </c>
      <c r="E6" s="48" t="n">
        <f aca="false">IFERROR(RANK(2_Calculated_KPIs!D5,2_Calculated_KPIs!D$5:D$10,1),"-")</f>
        <v>2</v>
      </c>
      <c r="F6" s="48" t="n">
        <f aca="false">IFERROR(RANK(2_Calculated_KPIs!E5,2_Calculated_KPIs!E$5:E$10,0),"-")</f>
        <v>4</v>
      </c>
      <c r="G6" s="48" t="n">
        <f aca="false">IFERROR(RANK(2_Calculated_KPIs!F5,2_Calculated_KPIs!F$5:F$10,0),"-")</f>
        <v>3</v>
      </c>
      <c r="H6" s="48" t="n">
        <f aca="false">IFERROR(RANK(2_Calculated_KPIs!G5,2_Calculated_KPIs!G$5:G$10,0),"-")</f>
        <v>2</v>
      </c>
      <c r="I6" s="37" t="n">
        <f aca="false">2_Calculated_KPIs!I5</f>
        <v>69</v>
      </c>
      <c r="J6" s="49" t="n">
        <f aca="false">IFERROR(RANK(I6,I$6:I$11,0),"-")</f>
        <v>3</v>
      </c>
    </row>
    <row r="7" customFormat="false" ht="19.5" hidden="false" customHeight="true" outlineLevel="0" collapsed="false">
      <c r="A7" s="32" t="str">
        <f aca="false">2_Calculated_KPIs!A6</f>
        <v>NJ Transit</v>
      </c>
      <c r="B7" s="50" t="s">
        <v>162</v>
      </c>
      <c r="C7" s="51" t="n">
        <f aca="false">IFERROR(RANK(2_Calculated_KPIs!B6,2_Calculated_KPIs!B$5:B$10,0),"-")</f>
        <v>4</v>
      </c>
      <c r="D7" s="51" t="n">
        <f aca="false">IFERROR(RANK(2_Calculated_KPIs!C6,2_Calculated_KPIs!C$5:C$10,0),"-")</f>
        <v>4</v>
      </c>
      <c r="E7" s="51" t="n">
        <f aca="false">IFERROR(RANK(2_Calculated_KPIs!D6,2_Calculated_KPIs!D$5:D$10,1),"-")</f>
        <v>3</v>
      </c>
      <c r="F7" s="51" t="n">
        <f aca="false">IFERROR(RANK(2_Calculated_KPIs!E6,2_Calculated_KPIs!E$5:E$10,0),"-")</f>
        <v>3</v>
      </c>
      <c r="G7" s="51" t="n">
        <f aca="false">IFERROR(RANK(2_Calculated_KPIs!F6,2_Calculated_KPIs!F$5:F$10,0),"-")</f>
        <v>2</v>
      </c>
      <c r="H7" s="51" t="n">
        <f aca="false">IFERROR(RANK(2_Calculated_KPIs!G6,2_Calculated_KPIs!G$5:G$10,0),"-")</f>
        <v>3</v>
      </c>
      <c r="I7" s="42" t="n">
        <f aca="false">2_Calculated_KPIs!I6</f>
        <v>55</v>
      </c>
      <c r="J7" s="52" t="n">
        <f aca="false">IFERROR(RANK(I7,I$6:I$11,0),"-")</f>
        <v>4</v>
      </c>
    </row>
    <row r="8" customFormat="false" ht="19.5" hidden="false" customHeight="true" outlineLevel="0" collapsed="false">
      <c r="A8" s="32" t="str">
        <f aca="false">2_Calculated_KPIs!A7</f>
        <v>SEPTA</v>
      </c>
      <c r="B8" s="47" t="s">
        <v>163</v>
      </c>
      <c r="C8" s="48" t="n">
        <f aca="false">IFERROR(RANK(2_Calculated_KPIs!B7,2_Calculated_KPIs!B$5:B$10,0),"-")</f>
        <v>2</v>
      </c>
      <c r="D8" s="48" t="n">
        <f aca="false">IFERROR(RANK(2_Calculated_KPIs!C7,2_Calculated_KPIs!C$5:C$10,0),"-")</f>
        <v>2</v>
      </c>
      <c r="E8" s="48" t="n">
        <f aca="false">IFERROR(RANK(2_Calculated_KPIs!D7,2_Calculated_KPIs!D$5:D$10,1),"-")</f>
        <v>1</v>
      </c>
      <c r="F8" s="48" t="n">
        <f aca="false">IFERROR(RANK(2_Calculated_KPIs!E7,2_Calculated_KPIs!E$5:E$10,0),"-")</f>
        <v>2</v>
      </c>
      <c r="G8" s="48" t="n">
        <f aca="false">IFERROR(RANK(2_Calculated_KPIs!F7,2_Calculated_KPIs!F$5:F$10,0),"-")</f>
        <v>4</v>
      </c>
      <c r="H8" s="48" t="n">
        <f aca="false">IFERROR(RANK(2_Calculated_KPIs!G7,2_Calculated_KPIs!G$5:G$10,0),"-")</f>
        <v>6</v>
      </c>
      <c r="I8" s="37" t="n">
        <f aca="false">2_Calculated_KPIs!I7</f>
        <v>70</v>
      </c>
      <c r="J8" s="49" t="n">
        <f aca="false">IFERROR(RANK(I8,I$6:I$11,0),"-")</f>
        <v>1</v>
      </c>
    </row>
    <row r="9" customFormat="false" ht="19.5" hidden="false" customHeight="true" outlineLevel="0" collapsed="false">
      <c r="A9" s="32" t="str">
        <f aca="false">2_Calculated_KPIs!A8</f>
        <v>MARC</v>
      </c>
      <c r="B9" s="50" t="s">
        <v>164</v>
      </c>
      <c r="C9" s="51" t="n">
        <f aca="false">IFERROR(RANK(2_Calculated_KPIs!B8,2_Calculated_KPIs!B$5:B$10,0),"-")</f>
        <v>6</v>
      </c>
      <c r="D9" s="51" t="n">
        <f aca="false">IFERROR(RANK(2_Calculated_KPIs!C8,2_Calculated_KPIs!C$5:C$10,0),"-")</f>
        <v>3</v>
      </c>
      <c r="E9" s="51" t="n">
        <f aca="false">IFERROR(RANK(2_Calculated_KPIs!D8,2_Calculated_KPIs!D$5:D$10,1),"-")</f>
        <v>6</v>
      </c>
      <c r="F9" s="51" t="n">
        <f aca="false">IFERROR(RANK(2_Calculated_KPIs!E8,2_Calculated_KPIs!E$5:E$10,0),"-")</f>
        <v>6</v>
      </c>
      <c r="G9" s="51" t="n">
        <f aca="false">IFERROR(RANK(2_Calculated_KPIs!F8,2_Calculated_KPIs!F$5:F$10,0),"-")</f>
        <v>6</v>
      </c>
      <c r="H9" s="51" t="n">
        <f aca="false">IFERROR(RANK(2_Calculated_KPIs!G8,2_Calculated_KPIs!G$5:G$10,0),"-")</f>
        <v>5</v>
      </c>
      <c r="I9" s="42" t="n">
        <f aca="false">2_Calculated_KPIs!I8</f>
        <v>11</v>
      </c>
      <c r="J9" s="52" t="n">
        <f aca="false">IFERROR(RANK(I9,I$6:I$11,0),"-")</f>
        <v>6</v>
      </c>
    </row>
    <row r="10" customFormat="false" ht="19.5" hidden="false" customHeight="true" outlineLevel="0" collapsed="false">
      <c r="A10" s="32" t="str">
        <f aca="false">2_Calculated_KPIs!A9</f>
        <v>Metra</v>
      </c>
      <c r="B10" s="47" t="s">
        <v>165</v>
      </c>
      <c r="C10" s="48" t="n">
        <f aca="false">IFERROR(RANK(2_Calculated_KPIs!B9,2_Calculated_KPIs!B$5:B$10,0),"-")</f>
        <v>5</v>
      </c>
      <c r="D10" s="48" t="n">
        <f aca="false">IFERROR(RANK(2_Calculated_KPIs!C9,2_Calculated_KPIs!C$5:C$10,0),"-")</f>
        <v>6</v>
      </c>
      <c r="E10" s="48" t="n">
        <f aca="false">IFERROR(RANK(2_Calculated_KPIs!D9,2_Calculated_KPIs!D$5:D$10,1),"-")</f>
        <v>5</v>
      </c>
      <c r="F10" s="48" t="n">
        <f aca="false">IFERROR(RANK(2_Calculated_KPIs!E9,2_Calculated_KPIs!E$5:E$10,0),"-")</f>
        <v>5</v>
      </c>
      <c r="G10" s="48" t="n">
        <f aca="false">IFERROR(RANK(2_Calculated_KPIs!F9,2_Calculated_KPIs!F$5:F$10,0),"-")</f>
        <v>5</v>
      </c>
      <c r="H10" s="48" t="n">
        <f aca="false">IFERROR(RANK(2_Calculated_KPIs!G9,2_Calculated_KPIs!G$5:G$10,0),"-")</f>
        <v>1</v>
      </c>
      <c r="I10" s="37" t="n">
        <f aca="false">2_Calculated_KPIs!I9</f>
        <v>25</v>
      </c>
      <c r="J10" s="49" t="n">
        <f aca="false">IFERROR(RANK(I10,I$6:I$11,0),"-")</f>
        <v>5</v>
      </c>
    </row>
    <row r="11" customFormat="false" ht="19.5" hidden="false" customHeight="true" outlineLevel="0" collapsed="false">
      <c r="A11" s="32" t="str">
        <f aca="false">2_Calculated_KPIs!A10</f>
        <v>Caltrain</v>
      </c>
      <c r="B11" s="50" t="s">
        <v>163</v>
      </c>
      <c r="C11" s="51" t="n">
        <f aca="false">IFERROR(RANK(2_Calculated_KPIs!B10,2_Calculated_KPIs!B$5:B$10,0),"-")</f>
        <v>1</v>
      </c>
      <c r="D11" s="51" t="n">
        <f aca="false">IFERROR(RANK(2_Calculated_KPIs!C10,2_Calculated_KPIs!C$5:C$10,0),"-")</f>
        <v>5</v>
      </c>
      <c r="E11" s="51" t="n">
        <f aca="false">IFERROR(RANK(2_Calculated_KPIs!D10,2_Calculated_KPIs!D$5:D$10,1),"-")</f>
        <v>4</v>
      </c>
      <c r="F11" s="51" t="n">
        <f aca="false">IFERROR(RANK(2_Calculated_KPIs!E10,2_Calculated_KPIs!E$5:E$10,0),"-")</f>
        <v>1</v>
      </c>
      <c r="G11" s="51" t="n">
        <f aca="false">IFERROR(RANK(2_Calculated_KPIs!F10,2_Calculated_KPIs!F$5:F$10,0),"-")</f>
        <v>1</v>
      </c>
      <c r="H11" s="51" t="n">
        <f aca="false">IFERROR(RANK(2_Calculated_KPIs!G10,2_Calculated_KPIs!G$5:G$10,0),"-")</f>
        <v>4</v>
      </c>
      <c r="I11" s="42" t="n">
        <f aca="false">2_Calculated_KPIs!I10</f>
        <v>70</v>
      </c>
      <c r="J11" s="52" t="n">
        <f aca="false">IFERROR(RANK(I11,I$6:I$11,0),"-")</f>
        <v>1</v>
      </c>
    </row>
    <row r="13" customFormat="false" ht="12.75" hidden="false" customHeight="true" outlineLevel="0" collapsed="false">
      <c r="A13" s="29" t="s">
        <v>166</v>
      </c>
      <c r="B13" s="29"/>
      <c r="C13" s="29"/>
      <c r="D13" s="29"/>
      <c r="E13" s="29"/>
      <c r="F13" s="29"/>
      <c r="G13" s="29"/>
      <c r="H13" s="29"/>
      <c r="I13" s="29"/>
      <c r="J13" s="29"/>
    </row>
  </sheetData>
  <mergeCells count="4">
    <mergeCell ref="A1:J1"/>
    <mergeCell ref="A2:J2"/>
    <mergeCell ref="A3:J3"/>
    <mergeCell ref="A13:J13"/>
  </mergeCells>
  <conditionalFormatting sqref="C6:H11">
    <cfRule type="colorScale" priority="2">
      <colorScale>
        <cfvo type="num" val="1"/>
        <cfvo type="num" val="3"/>
        <cfvo type="num" val="6"/>
        <color rgb="FFC6EFCE"/>
        <color rgb="FFFFEB9C"/>
        <color rgb="FFFFC7CE"/>
      </colorScale>
    </cfRule>
  </conditionalFormatting>
  <conditionalFormatting sqref="I6:I11">
    <cfRule type="colorScale" priority="3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J6:J11">
    <cfRule type="colorScale" priority="4">
      <colorScale>
        <cfvo type="num" val="1"/>
        <cfvo type="num" val="6"/>
        <color rgb="FFC6EFCE"/>
        <color rgb="FFFFC7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54F0B"/>
    <pageSetUpPr fitToPage="false"/>
  </sheetPr>
  <dimension ref="A1:Q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2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2"/>
    <col collapsed="false" customWidth="true" hidden="false" outlineLevel="0" max="8" min="7" style="1" width="14"/>
    <col collapsed="false" customWidth="true" hidden="false" outlineLevel="0" max="9" min="9" style="1" width="2"/>
    <col collapsed="false" customWidth="true" hidden="false" outlineLevel="0" max="11" min="10" style="1" width="14"/>
    <col collapsed="false" customWidth="true" hidden="false" outlineLevel="0" max="12" min="12" style="1" width="2"/>
    <col collapsed="false" customWidth="true" hidden="false" outlineLevel="0" max="13" min="13" style="1" width="18"/>
    <col collapsed="false" customWidth="true" hidden="false" outlineLevel="0" max="14" min="14" style="1" width="14"/>
    <col collapsed="false" customWidth="true" hidden="false" outlineLevel="0" max="15" min="15" style="1" width="2"/>
    <col collapsed="false" customWidth="true" hidden="false" outlineLevel="0" max="16" min="16" style="1" width="18"/>
    <col collapsed="false" customWidth="true" hidden="false" outlineLevel="0" max="17" min="17" style="1" width="14"/>
  </cols>
  <sheetData>
    <row r="1" customFormat="false" ht="27.75" hidden="false" customHeight="true" outlineLevel="0" collapsed="false">
      <c r="A1" s="2" t="s">
        <v>167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.75" hidden="false" customHeight="true" outlineLevel="0" collapsed="false">
      <c r="A2" s="3" t="s">
        <v>168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19.5" hidden="false" customHeight="true" outlineLevel="0" collapsed="false">
      <c r="A4" s="53" t="s">
        <v>169</v>
      </c>
      <c r="B4" s="53"/>
      <c r="D4" s="53" t="s">
        <v>170</v>
      </c>
      <c r="E4" s="53"/>
      <c r="G4" s="53" t="s">
        <v>171</v>
      </c>
      <c r="H4" s="53"/>
      <c r="J4" s="53" t="s">
        <v>172</v>
      </c>
      <c r="K4" s="53"/>
      <c r="M4" s="53" t="s">
        <v>173</v>
      </c>
      <c r="N4" s="53"/>
      <c r="P4" s="53" t="s">
        <v>174</v>
      </c>
      <c r="Q4" s="53"/>
    </row>
    <row r="5" customFormat="false" ht="15.75" hidden="false" customHeight="true" outlineLevel="0" collapsed="false">
      <c r="A5" s="54" t="s">
        <v>23</v>
      </c>
      <c r="B5" s="54" t="s">
        <v>175</v>
      </c>
      <c r="D5" s="54" t="s">
        <v>23</v>
      </c>
      <c r="E5" s="54" t="s">
        <v>175</v>
      </c>
      <c r="G5" s="54" t="s">
        <v>23</v>
      </c>
      <c r="H5" s="54" t="s">
        <v>175</v>
      </c>
      <c r="J5" s="54" t="s">
        <v>23</v>
      </c>
      <c r="K5" s="54" t="s">
        <v>175</v>
      </c>
      <c r="M5" s="54" t="s">
        <v>23</v>
      </c>
      <c r="N5" s="54" t="s">
        <v>175</v>
      </c>
      <c r="P5" s="54" t="s">
        <v>23</v>
      </c>
      <c r="Q5" s="54" t="s">
        <v>175</v>
      </c>
    </row>
    <row r="6" customFormat="false" ht="15.75" hidden="false" customHeight="true" outlineLevel="0" collapsed="false">
      <c r="A6" s="55" t="str">
        <f aca="false">2_Calculated_KPIs!A5</f>
        <v>MBTA</v>
      </c>
      <c r="B6" s="56" t="n">
        <f aca="false">2_Calculated_KPIs!I5</f>
        <v>69</v>
      </c>
      <c r="D6" s="55" t="str">
        <f aca="false">2_Calculated_KPIs!A5</f>
        <v>MBTA</v>
      </c>
      <c r="E6" s="57" t="n">
        <f aca="false">2_Calculated_KPIs!B5</f>
        <v>56613.9590361446</v>
      </c>
      <c r="G6" s="55" t="str">
        <f aca="false">2_Calculated_KPIs!A5</f>
        <v>MBTA</v>
      </c>
      <c r="H6" s="58" t="n">
        <f aca="false">2_Calculated_KPIs!G5</f>
        <v>0.9315</v>
      </c>
      <c r="J6" s="55" t="str">
        <f aca="false">2_Calculated_KPIs!A5</f>
        <v>MBTA</v>
      </c>
      <c r="K6" s="59" t="n">
        <f aca="false">2_Calculated_KPIs!D5</f>
        <v>20.3345511067069</v>
      </c>
      <c r="M6" s="55" t="str">
        <f aca="false">2_Calculated_KPIs!A5</f>
        <v>MBTA</v>
      </c>
      <c r="N6" s="58" t="n">
        <f aca="false">2_Calculated_KPIs!C5</f>
        <v>0.849372384937239</v>
      </c>
      <c r="P6" s="55" t="str">
        <f aca="false">2_Calculated_KPIs!A5</f>
        <v>MBTA</v>
      </c>
      <c r="Q6" s="60" t="n">
        <f aca="false">2_Calculated_KPIs!F5</f>
        <v>28.8108571106239</v>
      </c>
    </row>
    <row r="7" customFormat="false" ht="15.75" hidden="false" customHeight="true" outlineLevel="0" collapsed="false">
      <c r="A7" s="61" t="str">
        <f aca="false">2_Calculated_KPIs!A6</f>
        <v>NJ Transit</v>
      </c>
      <c r="B7" s="62" t="n">
        <f aca="false">2_Calculated_KPIs!I6</f>
        <v>55</v>
      </c>
      <c r="D7" s="61" t="str">
        <f aca="false">2_Calculated_KPIs!A6</f>
        <v>NJ Transit</v>
      </c>
      <c r="E7" s="63" t="n">
        <f aca="false">2_Calculated_KPIs!B6</f>
        <v>53231.200990099</v>
      </c>
      <c r="G7" s="61" t="str">
        <f aca="false">2_Calculated_KPIs!A6</f>
        <v>NJ Transit</v>
      </c>
      <c r="H7" s="64" t="n">
        <f aca="false">2_Calculated_KPIs!G6</f>
        <v>0.921</v>
      </c>
      <c r="J7" s="61" t="str">
        <f aca="false">2_Calculated_KPIs!A6</f>
        <v>NJ Transit</v>
      </c>
      <c r="K7" s="65" t="n">
        <f aca="false">2_Calculated_KPIs!D6</f>
        <v>24.4614111990785</v>
      </c>
      <c r="M7" s="61" t="str">
        <f aca="false">2_Calculated_KPIs!A6</f>
        <v>NJ Transit</v>
      </c>
      <c r="N7" s="64" t="n">
        <f aca="false">2_Calculated_KPIs!C6</f>
        <v>0.66360153256705</v>
      </c>
      <c r="P7" s="61" t="str">
        <f aca="false">2_Calculated_KPIs!A6</f>
        <v>NJ Transit</v>
      </c>
      <c r="Q7" s="66" t="n">
        <f aca="false">2_Calculated_KPIs!F6</f>
        <v>29.3226149525748</v>
      </c>
    </row>
    <row r="8" customFormat="false" ht="15.75" hidden="false" customHeight="true" outlineLevel="0" collapsed="false">
      <c r="A8" s="55" t="str">
        <f aca="false">2_Calculated_KPIs!A7</f>
        <v>SEPTA</v>
      </c>
      <c r="B8" s="56" t="n">
        <f aca="false">2_Calculated_KPIs!I7</f>
        <v>70</v>
      </c>
      <c r="D8" s="55" t="str">
        <f aca="false">2_Calculated_KPIs!A7</f>
        <v>SEPTA</v>
      </c>
      <c r="E8" s="57" t="n">
        <f aca="false">2_Calculated_KPIs!B7</f>
        <v>68226.9785714286</v>
      </c>
      <c r="G8" s="55" t="str">
        <f aca="false">2_Calculated_KPIs!A7</f>
        <v>SEPTA</v>
      </c>
      <c r="H8" s="58" t="n">
        <f aca="false">2_Calculated_KPIs!G7</f>
        <v>0.879</v>
      </c>
      <c r="J8" s="55" t="str">
        <f aca="false">2_Calculated_KPIs!A7</f>
        <v>SEPTA</v>
      </c>
      <c r="K8" s="59" t="n">
        <f aca="false">2_Calculated_KPIs!D7</f>
        <v>16.5626148935428</v>
      </c>
      <c r="M8" s="55" t="str">
        <f aca="false">2_Calculated_KPIs!A7</f>
        <v>SEPTA</v>
      </c>
      <c r="N8" s="58" t="n">
        <f aca="false">2_Calculated_KPIs!C7</f>
        <v>0.744525547445256</v>
      </c>
      <c r="P8" s="55" t="str">
        <f aca="false">2_Calculated_KPIs!A7</f>
        <v>SEPTA</v>
      </c>
      <c r="Q8" s="60" t="n">
        <f aca="false">2_Calculated_KPIs!F7</f>
        <v>22.4065480630738</v>
      </c>
    </row>
    <row r="9" customFormat="false" ht="15.75" hidden="false" customHeight="true" outlineLevel="0" collapsed="false">
      <c r="A9" s="61" t="str">
        <f aca="false">2_Calculated_KPIs!A8</f>
        <v>MARC</v>
      </c>
      <c r="B9" s="62" t="n">
        <f aca="false">2_Calculated_KPIs!I8</f>
        <v>11</v>
      </c>
      <c r="D9" s="61" t="str">
        <f aca="false">2_Calculated_KPIs!A8</f>
        <v>MARC</v>
      </c>
      <c r="E9" s="63" t="n">
        <f aca="false">2_Calculated_KPIs!B8</f>
        <v>18057.9518716578</v>
      </c>
      <c r="G9" s="61" t="str">
        <f aca="false">2_Calculated_KPIs!A8</f>
        <v>MARC</v>
      </c>
      <c r="H9" s="64" t="n">
        <f aca="false">2_Calculated_KPIs!G8</f>
        <v>0.9</v>
      </c>
      <c r="J9" s="61" t="str">
        <f aca="false">2_Calculated_KPIs!A8</f>
        <v>MARC</v>
      </c>
      <c r="K9" s="65" t="n">
        <f aca="false">2_Calculated_KPIs!D8</f>
        <v>46.8836941196747</v>
      </c>
      <c r="M9" s="61" t="str">
        <f aca="false">2_Calculated_KPIs!A8</f>
        <v>MARC</v>
      </c>
      <c r="N9" s="64" t="n">
        <f aca="false">2_Calculated_KPIs!C8</f>
        <v>0.741293532338308</v>
      </c>
      <c r="P9" s="61" t="str">
        <f aca="false">2_Calculated_KPIs!A8</f>
        <v>MARC</v>
      </c>
      <c r="Q9" s="66" t="n">
        <f aca="false">2_Calculated_KPIs!F8</f>
        <v>20.0485474936622</v>
      </c>
    </row>
    <row r="10" customFormat="false" ht="15.75" hidden="false" customHeight="true" outlineLevel="0" collapsed="false">
      <c r="A10" s="55" t="str">
        <f aca="false">2_Calculated_KPIs!A9</f>
        <v>Metra</v>
      </c>
      <c r="B10" s="56" t="n">
        <f aca="false">2_Calculated_KPIs!I9</f>
        <v>25</v>
      </c>
      <c r="D10" s="55" t="str">
        <f aca="false">2_Calculated_KPIs!A9</f>
        <v>Metra</v>
      </c>
      <c r="E10" s="57" t="n">
        <f aca="false">2_Calculated_KPIs!B9</f>
        <v>28059.7157894737</v>
      </c>
      <c r="G10" s="55" t="str">
        <f aca="false">2_Calculated_KPIs!A9</f>
        <v>Metra</v>
      </c>
      <c r="H10" s="58" t="n">
        <f aca="false">2_Calculated_KPIs!G9</f>
        <v>0.95</v>
      </c>
      <c r="J10" s="55" t="str">
        <f aca="false">2_Calculated_KPIs!A9</f>
        <v>Metra</v>
      </c>
      <c r="K10" s="59" t="n">
        <f aca="false">2_Calculated_KPIs!D9</f>
        <v>28.0294789220833</v>
      </c>
      <c r="M10" s="55" t="str">
        <f aca="false">2_Calculated_KPIs!A9</f>
        <v>Metra</v>
      </c>
      <c r="N10" s="58" t="n">
        <f aca="false">2_Calculated_KPIs!C9</f>
        <v>0.618305084745763</v>
      </c>
      <c r="P10" s="55" t="str">
        <f aca="false">2_Calculated_KPIs!A9</f>
        <v>Metra</v>
      </c>
      <c r="Q10" s="60" t="n">
        <f aca="false">2_Calculated_KPIs!F9</f>
        <v>21.9412455063698</v>
      </c>
    </row>
    <row r="11" customFormat="false" ht="15.75" hidden="false" customHeight="true" outlineLevel="0" collapsed="false">
      <c r="A11" s="61" t="str">
        <f aca="false">2_Calculated_KPIs!A10</f>
        <v>Caltrain</v>
      </c>
      <c r="B11" s="62" t="n">
        <f aca="false">2_Calculated_KPIs!I10</f>
        <v>70</v>
      </c>
      <c r="D11" s="61" t="str">
        <f aca="false">2_Calculated_KPIs!A10</f>
        <v>Caltrain</v>
      </c>
      <c r="E11" s="63" t="n">
        <f aca="false">2_Calculated_KPIs!B10</f>
        <v>91066.4415584416</v>
      </c>
      <c r="G11" s="61" t="str">
        <f aca="false">2_Calculated_KPIs!A10</f>
        <v>Caltrain</v>
      </c>
      <c r="H11" s="64" t="n">
        <f aca="false">2_Calculated_KPIs!G10</f>
        <v>0.92</v>
      </c>
      <c r="J11" s="61" t="str">
        <f aca="false">2_Calculated_KPIs!A10</f>
        <v>Caltrain</v>
      </c>
      <c r="K11" s="65" t="n">
        <f aca="false">2_Calculated_KPIs!D10</f>
        <v>24.6563712009328</v>
      </c>
      <c r="M11" s="61" t="str">
        <f aca="false">2_Calculated_KPIs!A10</f>
        <v>Caltrain</v>
      </c>
      <c r="N11" s="64" t="n">
        <f aca="false">2_Calculated_KPIs!C10</f>
        <v>0.639097744360902</v>
      </c>
      <c r="P11" s="61" t="str">
        <f aca="false">2_Calculated_KPIs!A10</f>
        <v>Caltrain</v>
      </c>
      <c r="Q11" s="66" t="n">
        <f aca="false">2_Calculated_KPIs!F10</f>
        <v>32.7434871330311</v>
      </c>
    </row>
    <row r="13" customFormat="false" ht="13.5" hidden="false" customHeight="true" outlineLevel="0" collapsed="false">
      <c r="A13" s="67" t="s">
        <v>176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</row>
  </sheetData>
  <mergeCells count="9">
    <mergeCell ref="A1:N1"/>
    <mergeCell ref="A2:N2"/>
    <mergeCell ref="A4:B4"/>
    <mergeCell ref="D4:E4"/>
    <mergeCell ref="G4:H4"/>
    <mergeCell ref="J4:K4"/>
    <mergeCell ref="M4:N4"/>
    <mergeCell ref="P4:Q4"/>
    <mergeCell ref="A13:N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2026-04-06T22:32:15Z</dcterms:created>
  <dc:creator>openpyxl</dc:creator>
  <dc:description/>
  <dc:language>en-US</dc:language>
  <cp:lastModifiedBy/>
  <dcterms:modified xsi:type="dcterms:W3CDTF">2026-04-06T23:55:27Z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