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aw_Data" sheetId="1" state="visible" r:id="rId3"/>
    <sheet name="2_Calculated_KPIs" sheetId="2" state="visible" r:id="rId4"/>
    <sheet name="3_Benchmark_Comparison" sheetId="3" state="visible" r:id="rId5"/>
    <sheet name="4_Chart_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<sst xmlns="http://schemas.openxmlformats.org/spreadsheetml/2006/main" count="107" uniqueCount="94">
  <si>
    <t xml:space="preserve">U.S. Commuter Rail Benchmarking — Raw Data</t>
  </si>
  <si>
    <t xml:space="preserve">Source data from NTD 2023 Annual Data Products &amp; agency dashboards  |  Data Year: FY2023  |  BLUE cells = enter your values</t>
  </si>
  <si>
    <t xml:space="preserve">NTD-SOURCED METRICS</t>
  </si>
  <si>
    <t xml:space="preserve">Agency</t>
  </si>
  <si>
    <t xml:space="preserve">NTD ID</t>
  </si>
  <si>
    <t xml:space="preserve">Unlinked Passenger
Trips (UPT)</t>
  </si>
  <si>
    <t xml:space="preserve">Vehicle Revenue
Miles (VRM)</t>
  </si>
  <si>
    <t xml:space="preserve">Vehicle Revenue
Hours (VRH)</t>
  </si>
  <si>
    <t xml:space="preserve">Vehicles Operated in
Max Service (VOMS)</t>
  </si>
  <si>
    <t xml:space="preserve">Vehicles Available for
Max Service (VAMS)</t>
  </si>
  <si>
    <t xml:space="preserve">Route Miles
(Directional)</t>
  </si>
  <si>
    <t xml:space="preserve">Operating Expenses
(USD)</t>
  </si>
  <si>
    <t xml:space="preserve">On-Time Performance
(enter as decimal)</t>
  </si>
  <si>
    <t xml:space="preserve">Peak-Hour Trains
/ Direction</t>
  </si>
  <si>
    <t xml:space="preserve">Avg Train Capacity
(Seats/Train)</t>
  </si>
  <si>
    <t xml:space="preserve">MBTA</t>
  </si>
  <si>
    <t xml:space="preserve">10001</t>
  </si>
  <si>
    <t xml:space="preserve">NJ Transit</t>
  </si>
  <si>
    <t xml:space="preserve">20215</t>
  </si>
  <si>
    <t xml:space="preserve">SEPTA</t>
  </si>
  <si>
    <t xml:space="preserve">30030</t>
  </si>
  <si>
    <t xml:space="preserve">Metra</t>
  </si>
  <si>
    <t xml:space="preserve">50077</t>
  </si>
  <si>
    <t xml:space="preserve">Caltrain</t>
  </si>
  <si>
    <t xml:space="preserve">90026</t>
  </si>
  <si>
    <t xml:space="preserve">MARC</t>
  </si>
  <si>
    <t xml:space="preserve">30034</t>
  </si>
  <si>
    <t xml:space="preserve">Sources: NTD 2023 Metrics — data.transportation.gov/Public-Transit/2022-2024-NTD-Annual-Data-Metrics/ekg5-frzt  |  Agency Mode Service — transit.dot.gov/ntd/data-product/2023-annual-database-agency-mode-service</t>
  </si>
  <si>
    <t xml:space="preserve">HOW TO FILL THIS SHEET</t>
  </si>
  <si>
    <t xml:space="preserve">1.  UPT, VRM, VRH, OpEx  →  NTD 2023 Metrics CSV  →  filter Mode = CR, use NTD ID column to find each agency</t>
  </si>
  <si>
    <t xml:space="preserve">2.  VOMS, VAMS            →  NTD 2023 Agency Mode Service file  →  Vehicles Operated / Available in Max Service</t>
  </si>
  <si>
    <t xml:space="preserve">3.  Route Miles           →  NTD 2023 Agency Mode Service file  →  Directional Route Miles column</t>
  </si>
  <si>
    <t xml:space="preserve">4.  OTP                   →  Enter as decimal (92.1% = 0.921). NJ Transit FY23 = 0.921. See agency dashboards for others.</t>
  </si>
  <si>
    <t xml:space="preserve">5.  Peak-Hour Trains      →  Count from agency timetable PDFs — peak AM inbound trains in busiest 60-min window</t>
  </si>
  <si>
    <t xml:space="preserve">6.  Avg Train Capacity    →  Agency fleet pages — typical seat count for peak-service consist</t>
  </si>
  <si>
    <t xml:space="preserve">U.S. Commuter Rail Benchmarking — Calculated KPIs</t>
  </si>
  <si>
    <t xml:space="preserve">All metrics derived via formula from Raw Data sheet  |  Fill Sheet 1 first — this sheet updates automatically</t>
  </si>
  <si>
    <t xml:space="preserve">Ridership Density
(UPT / Route Mile)</t>
  </si>
  <si>
    <t xml:space="preserve">Fleet Utilization
(VOMS / VAMS)</t>
  </si>
  <si>
    <t xml:space="preserve">Cost per Trip
(OpEx / UPT)</t>
  </si>
  <si>
    <t xml:space="preserve">Service Intensity
(VRM / Route Mile)</t>
  </si>
  <si>
    <t xml:space="preserve">Rev. Hr Efficiency
(UPT / VRH)</t>
  </si>
  <si>
    <t xml:space="preserve">On-Time
Performance (%)</t>
  </si>
  <si>
    <t xml:space="preserve">Peak Capacity
(Trains × Seats)</t>
  </si>
  <si>
    <t xml:space="preserve">Composite
Score (0–100)</t>
  </si>
  <si>
    <t xml:space="preserve">COMPOSITE SCORE — WEIGHT METHODOLOGY</t>
  </si>
  <si>
    <t xml:space="preserve">Ridership Density</t>
  </si>
  <si>
    <t xml:space="preserve">25%</t>
  </si>
  <si>
    <t xml:space="preserve">Trips per route mile — how intensively the network is used</t>
  </si>
  <si>
    <t xml:space="preserve">Cost Efficiency</t>
  </si>
  <si>
    <t xml:space="preserve">20%</t>
  </si>
  <si>
    <t xml:space="preserve">Operating cost per trip — lower is better (rank inverted)</t>
  </si>
  <si>
    <t xml:space="preserve">Fleet Utilization</t>
  </si>
  <si>
    <t xml:space="preserve">15%</t>
  </si>
  <si>
    <t xml:space="preserve">Peak vehicles deployed vs available — spare ratio indicator</t>
  </si>
  <si>
    <t xml:space="preserve">Service Intensity</t>
  </si>
  <si>
    <t xml:space="preserve">Vehicle revenue miles per route mile — frequency proxy</t>
  </si>
  <si>
    <t xml:space="preserve">Rev. Hr Efficiency</t>
  </si>
  <si>
    <t xml:space="preserve">Trips per revenue hour — scheduled service productivity</t>
  </si>
  <si>
    <t xml:space="preserve">On-Time Performance</t>
  </si>
  <si>
    <t xml:space="preserve">10%</t>
  </si>
  <si>
    <t xml:space="preserve">Agency-reported annual OTP — reliability indicator</t>
  </si>
  <si>
    <t xml:space="preserve">U.S. Commuter Rail Benchmarking — Comparison Table</t>
  </si>
  <si>
    <t xml:space="preserve">Rank 1 = best performer per KPI  |  Color: green = top, red = bottom  |  Updates automatically from Raw Data</t>
  </si>
  <si>
    <t xml:space="preserve">PERFORMANCE BENCHMARKING MATRIX — FY2023</t>
  </si>
  <si>
    <t xml:space="preserve">← KPI RANKINGS (1 = best) →</t>
  </si>
  <si>
    <t xml:space="preserve">Region</t>
  </si>
  <si>
    <t xml:space="preserve">Ridership
Density Rank</t>
  </si>
  <si>
    <t xml:space="preserve">Fleet Util.
Rank</t>
  </si>
  <si>
    <t xml:space="preserve">Cost Efficiency
Rank</t>
  </si>
  <si>
    <t xml:space="preserve">Service
Intensity Rank</t>
  </si>
  <si>
    <t xml:space="preserve">Rev. Hr
Efficiency Rank</t>
  </si>
  <si>
    <t xml:space="preserve">OTP Rank</t>
  </si>
  <si>
    <t xml:space="preserve">Composite
Score</t>
  </si>
  <si>
    <t xml:space="preserve">Overall
Rank</t>
  </si>
  <si>
    <t xml:space="preserve">Performance
Tier</t>
  </si>
  <si>
    <t xml:space="preserve">Northeast</t>
  </si>
  <si>
    <t xml:space="preserve">Mid-Atlantic</t>
  </si>
  <si>
    <t xml:space="preserve">Midwest</t>
  </si>
  <si>
    <t xml:space="preserve">West Coast</t>
  </si>
  <si>
    <t xml:space="preserve">Note: Rank 1 = best. Cost Efficiency rank is inverted (lower cost/trip = Rank 1). Composite score weighted — see methodology in tab 2.</t>
  </si>
  <si>
    <t xml:space="preserve">U.S. Commuter Rail Benchmarking — Chart Dashboard</t>
  </si>
  <si>
    <t xml:space="preserve">Pre-built data ranges for charting in Google Sheets  |  Select any table → Insert → Chart</t>
  </si>
  <si>
    <t xml:space="preserve">COMPOSITE SCORE</t>
  </si>
  <si>
    <t xml:space="preserve">RIDERSHIP DENSITY</t>
  </si>
  <si>
    <t xml:space="preserve">OTP (%)</t>
  </si>
  <si>
    <t xml:space="preserve">COST / TRIP</t>
  </si>
  <si>
    <t xml:space="preserve">Value</t>
  </si>
  <si>
    <t xml:space="preserve">HOW TO BUILD CHARTS IN GOOGLE SHEETS</t>
  </si>
  <si>
    <t xml:space="preserve">1.  Select a table above (e.g. A5:B11 for Composite Score) → Insert → Chart → Bar chart → Customise with navy/steel palette</t>
  </si>
  <si>
    <t xml:space="preserve">2.  For all 4 KPIs on one chart: select all 4 value columns (non-contiguous) using Ctrl+Click on column headers</t>
  </si>
  <si>
    <t xml:space="preserve">3.  Recommended chart types: Composite Score = Horizontal Bar  |  OTP = Column  |  Cost/Trip = Column (inverted meaning)  |  Ridership Density = Bar</t>
  </si>
  <si>
    <t xml:space="preserve">4.  PYTHON OPTION: Run analysis/benchmark_analysis.py — generates all charts as high-res PNGs in /outputs (use these for README &amp; report)</t>
  </si>
  <si>
    <t xml:space="preserve">5.  Chart title format: 'FY2023 [KPI Name] — U.S. Commuter Rail Systems'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</si>
</sst>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#,##0.0"/>
    <numFmt numFmtId="167" formatCode="\$#,##0"/>
    <numFmt numFmtId="168" formatCode="0.0%"/>
    <numFmt numFmtId="169" formatCode="0.00%"/>
    <numFmt numFmtId="170" formatCode="\$#,##0.00"/>
    <numFmt numFmtId="171" formatCode="0.0"/>
    <numFmt numFmtId="172" formatCode="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808080"/>
      <name val="Arial"/>
      <family val="0"/>
      <charset val="1"/>
    </font>
    <font>
      <sz val="10"/>
      <color rgb="FF1155CC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9"/>
      <color rgb="FF40404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40404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8A"/>
        <bgColor rgb="FF1155CC"/>
      </patternFill>
    </fill>
    <fill>
      <patternFill patternType="solid">
        <fgColor rgb="FFD6E4F0"/>
        <bgColor rgb="FFEBF4FA"/>
      </patternFill>
    </fill>
    <fill>
      <patternFill patternType="solid">
        <fgColor rgb="FFFFFFFF"/>
        <bgColor rgb="FFEBF4FA"/>
      </patternFill>
    </fill>
    <fill>
      <patternFill patternType="solid">
        <fgColor rgb="FFEBF4FA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medium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4FA"/>
      <rgbColor rgb="FF660066"/>
      <rgbColor rgb="FFFF8080"/>
      <rgbColor rgb="FF1155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E5F8A"/>
      <rgbColor rgb="FF969696"/>
      <rgbColor rgb="FF1F3864"/>
      <rgbColor rgb="FF339966"/>
      <rgbColor rgb="FF003300"/>
      <rgbColor rgb="FF333300"/>
      <rgbColor rgb="FF854F0B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F8A"/>
    <pageSetUpPr fitToPage="true"/>
  </sheetPr>
  <dimension ref="A1:L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7" min="6" style="0" width="18"/>
    <col collapsed="false" customWidth="true" hidden="false" outlineLevel="0" max="8" min="8" style="0" width="14"/>
    <col collapsed="false" customWidth="true" hidden="false" outlineLevel="0" max="10" min="9" style="0" width="18"/>
    <col collapsed="false" customWidth="true" hidden="false" outlineLevel="0" max="11" min="11" style="0" width="14"/>
    <col collapsed="false" customWidth="true" hidden="false" outlineLevel="0" max="12" min="12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3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36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customFormat="false" ht="19.5" hidden="false" customHeight="true" outlineLevel="0" collapsed="false">
      <c r="A5" s="5" t="s">
        <v>15</v>
      </c>
      <c r="B5" s="6" t="s">
        <v>16</v>
      </c>
      <c r="C5" s="7"/>
      <c r="D5" s="7"/>
      <c r="E5" s="7"/>
      <c r="F5" s="7"/>
      <c r="G5" s="7"/>
      <c r="H5" s="8"/>
      <c r="I5" s="9"/>
      <c r="J5" s="10"/>
      <c r="K5" s="7"/>
      <c r="L5" s="7"/>
    </row>
    <row r="6" customFormat="false" ht="19.5" hidden="false" customHeight="true" outlineLevel="0" collapsed="false">
      <c r="A6" s="5" t="s">
        <v>17</v>
      </c>
      <c r="B6" s="6" t="s">
        <v>18</v>
      </c>
      <c r="C6" s="11"/>
      <c r="D6" s="11"/>
      <c r="E6" s="11"/>
      <c r="F6" s="11"/>
      <c r="G6" s="11"/>
      <c r="H6" s="12"/>
      <c r="I6" s="13"/>
      <c r="J6" s="14"/>
      <c r="K6" s="11"/>
      <c r="L6" s="11"/>
    </row>
    <row r="7" customFormat="false" ht="19.5" hidden="false" customHeight="true" outlineLevel="0" collapsed="false">
      <c r="A7" s="5" t="s">
        <v>19</v>
      </c>
      <c r="B7" s="6" t="s">
        <v>20</v>
      </c>
      <c r="C7" s="7"/>
      <c r="D7" s="7"/>
      <c r="E7" s="7"/>
      <c r="F7" s="7"/>
      <c r="G7" s="7"/>
      <c r="H7" s="8"/>
      <c r="I7" s="9"/>
      <c r="J7" s="10"/>
      <c r="K7" s="7"/>
      <c r="L7" s="7"/>
    </row>
    <row r="8" customFormat="false" ht="19.5" hidden="false" customHeight="true" outlineLevel="0" collapsed="false">
      <c r="A8" s="5" t="s">
        <v>21</v>
      </c>
      <c r="B8" s="6" t="s">
        <v>22</v>
      </c>
      <c r="C8" s="11"/>
      <c r="D8" s="11"/>
      <c r="E8" s="11"/>
      <c r="F8" s="11"/>
      <c r="G8" s="11"/>
      <c r="H8" s="12"/>
      <c r="I8" s="13"/>
      <c r="J8" s="14"/>
      <c r="K8" s="11"/>
      <c r="L8" s="11"/>
    </row>
    <row r="9" customFormat="false" ht="19.5" hidden="false" customHeight="true" outlineLevel="0" collapsed="false">
      <c r="A9" s="5" t="s">
        <v>23</v>
      </c>
      <c r="B9" s="6" t="s">
        <v>24</v>
      </c>
      <c r="C9" s="7"/>
      <c r="D9" s="7"/>
      <c r="E9" s="7"/>
      <c r="F9" s="7"/>
      <c r="G9" s="7"/>
      <c r="H9" s="8"/>
      <c r="I9" s="9"/>
      <c r="J9" s="10"/>
      <c r="K9" s="7"/>
      <c r="L9" s="7"/>
    </row>
    <row r="10" customFormat="false" ht="19.5" hidden="false" customHeight="true" outlineLevel="0" collapsed="false">
      <c r="A10" s="5" t="s">
        <v>25</v>
      </c>
      <c r="B10" s="6" t="s">
        <v>26</v>
      </c>
      <c r="C10" s="11"/>
      <c r="D10" s="11"/>
      <c r="E10" s="11"/>
      <c r="F10" s="11"/>
      <c r="G10" s="11"/>
      <c r="H10" s="12"/>
      <c r="I10" s="13"/>
      <c r="J10" s="14"/>
      <c r="K10" s="11"/>
      <c r="L10" s="11"/>
    </row>
    <row r="11" customFormat="false" ht="12.75" hidden="false" customHeight="true" outlineLevel="0" collapsed="false">
      <c r="A11" s="15" t="s">
        <v>27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3" customFormat="false" ht="13.5" hidden="false" customHeight="true" outlineLevel="0" collapsed="false">
      <c r="A13" s="3" t="s">
        <v>28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customFormat="false" ht="13.5" hidden="false" customHeight="true" outlineLevel="0" collapsed="false">
      <c r="A14" s="16" t="s">
        <v>29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customFormat="false" ht="13.5" hidden="false" customHeight="true" outlineLevel="0" collapsed="false">
      <c r="A15" s="16" t="s">
        <v>30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customFormat="false" ht="13.5" hidden="false" customHeight="true" outlineLevel="0" collapsed="false">
      <c r="A16" s="16" t="s">
        <v>31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customFormat="false" ht="13.5" hidden="false" customHeight="true" outlineLevel="0" collapsed="false">
      <c r="A17" s="16" t="s">
        <v>32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customFormat="false" ht="13.5" hidden="false" customHeight="true" outlineLevel="0" collapsed="false">
      <c r="A18" s="16" t="s">
        <v>33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customFormat="false" ht="13.5" hidden="false" customHeight="true" outlineLevel="0" collapsed="false">
      <c r="A19" s="16" t="s">
        <v>34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</sheetData>
  <mergeCells count="11">
    <mergeCell ref="A1:L1"/>
    <mergeCell ref="A2:L2"/>
    <mergeCell ref="A3:L3"/>
    <mergeCell ref="A11:L11"/>
    <mergeCell ref="A13:L13"/>
    <mergeCell ref="A14:L14"/>
    <mergeCell ref="A15:L15"/>
    <mergeCell ref="A16:L16"/>
    <mergeCell ref="A17:L17"/>
    <mergeCell ref="A18:L18"/>
    <mergeCell ref="A19:L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27.75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36</v>
      </c>
      <c r="B2" s="2"/>
      <c r="C2" s="2"/>
      <c r="D2" s="2"/>
      <c r="E2" s="2"/>
      <c r="F2" s="2"/>
      <c r="G2" s="2"/>
      <c r="H2" s="2"/>
      <c r="I2" s="2"/>
    </row>
    <row r="4" customFormat="false" ht="36" hidden="false" customHeight="true" outlineLevel="0" collapsed="false">
      <c r="A4" s="4" t="s">
        <v>3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43</v>
      </c>
      <c r="I4" s="4" t="s">
        <v>44</v>
      </c>
    </row>
    <row r="5" customFormat="false" ht="19.5" hidden="false" customHeight="true" outlineLevel="0" collapsed="false">
      <c r="A5" s="5" t="str">
        <f aca="false">1_Raw_Data!A5</f>
        <v>MBTA</v>
      </c>
      <c r="B5" s="17" t="str">
        <f aca="false">IFERROR(1_Raw_Data!C5/1_Raw_Data!H5,"")</f>
        <v/>
      </c>
      <c r="C5" s="18" t="str">
        <f aca="false">IFERROR(1_Raw_Data!F5/1_Raw_Data!G5,"")</f>
        <v/>
      </c>
      <c r="D5" s="19" t="str">
        <f aca="false">IFERROR(1_Raw_Data!I5/1_Raw_Data!C5,"")</f>
        <v/>
      </c>
      <c r="E5" s="20" t="str">
        <f aca="false">IFERROR(1_Raw_Data!D5/1_Raw_Data!H5,"")</f>
        <v/>
      </c>
      <c r="F5" s="20" t="str">
        <f aca="false">IFERROR(1_Raw_Data!C5/1_Raw_Data!E5,"")</f>
        <v/>
      </c>
      <c r="G5" s="21" t="n">
        <f aca="false">1_Raw_Data!J5</f>
        <v>0</v>
      </c>
      <c r="H5" s="17" t="n">
        <f aca="false">IFERROR(1_Raw_Data!K5*1_Raw_Data!L5,"")</f>
        <v>0</v>
      </c>
      <c r="I5" s="22" t="str">
        <f aca="false">IFERROR(ROUND((RANK(B5,B$5:B$10,1)-1)/5*25+(RANK(C5,C$5:C$10,1)-1)/5*15+(RANK(D5,D$5:D$10,0)-1)/5*20+(RANK(E5,E$5:E$10,1)-1)/5*15+(RANK(F5,F$5:F$10,1)-1)/5*15+(RANK(G5,G$5:G$10,1)-1)/5*10,1),"")</f>
        <v/>
      </c>
    </row>
    <row r="6" customFormat="false" ht="19.5" hidden="false" customHeight="true" outlineLevel="0" collapsed="false">
      <c r="A6" s="5" t="str">
        <f aca="false">1_Raw_Data!A6</f>
        <v>NJ Transit</v>
      </c>
      <c r="B6" s="23" t="str">
        <f aca="false">IFERROR(1_Raw_Data!C6/1_Raw_Data!H6,"")</f>
        <v/>
      </c>
      <c r="C6" s="24" t="str">
        <f aca="false">IFERROR(1_Raw_Data!F6/1_Raw_Data!G6,"")</f>
        <v/>
      </c>
      <c r="D6" s="25" t="str">
        <f aca="false">IFERROR(1_Raw_Data!I6/1_Raw_Data!C6,"")</f>
        <v/>
      </c>
      <c r="E6" s="26" t="str">
        <f aca="false">IFERROR(1_Raw_Data!D6/1_Raw_Data!H6,"")</f>
        <v/>
      </c>
      <c r="F6" s="26" t="str">
        <f aca="false">IFERROR(1_Raw_Data!C6/1_Raw_Data!E6,"")</f>
        <v/>
      </c>
      <c r="G6" s="27" t="n">
        <f aca="false">1_Raw_Data!J6</f>
        <v>0</v>
      </c>
      <c r="H6" s="23" t="n">
        <f aca="false">IFERROR(1_Raw_Data!K6*1_Raw_Data!L6,"")</f>
        <v>0</v>
      </c>
      <c r="I6" s="28" t="str">
        <f aca="false">IFERROR(ROUND((RANK(B6,B$5:B$10,1)-1)/5*25+(RANK(C6,C$5:C$10,1)-1)/5*15+(RANK(D6,D$5:D$10,0)-1)/5*20+(RANK(E6,E$5:E$10,1)-1)/5*15+(RANK(F6,F$5:F$10,1)-1)/5*15+(RANK(G6,G$5:G$10,1)-1)/5*10,1),"")</f>
        <v/>
      </c>
    </row>
    <row r="7" customFormat="false" ht="19.5" hidden="false" customHeight="true" outlineLevel="0" collapsed="false">
      <c r="A7" s="5" t="str">
        <f aca="false">1_Raw_Data!A7</f>
        <v>SEPTA</v>
      </c>
      <c r="B7" s="17" t="str">
        <f aca="false">IFERROR(1_Raw_Data!C7/1_Raw_Data!H7,"")</f>
        <v/>
      </c>
      <c r="C7" s="18" t="str">
        <f aca="false">IFERROR(1_Raw_Data!F7/1_Raw_Data!G7,"")</f>
        <v/>
      </c>
      <c r="D7" s="19" t="str">
        <f aca="false">IFERROR(1_Raw_Data!I7/1_Raw_Data!C7,"")</f>
        <v/>
      </c>
      <c r="E7" s="20" t="str">
        <f aca="false">IFERROR(1_Raw_Data!D7/1_Raw_Data!H7,"")</f>
        <v/>
      </c>
      <c r="F7" s="20" t="str">
        <f aca="false">IFERROR(1_Raw_Data!C7/1_Raw_Data!E7,"")</f>
        <v/>
      </c>
      <c r="G7" s="21" t="n">
        <f aca="false">1_Raw_Data!J7</f>
        <v>0</v>
      </c>
      <c r="H7" s="17" t="n">
        <f aca="false">IFERROR(1_Raw_Data!K7*1_Raw_Data!L7,"")</f>
        <v>0</v>
      </c>
      <c r="I7" s="22" t="str">
        <f aca="false">IFERROR(ROUND((RANK(B7,B$5:B$10,1)-1)/5*25+(RANK(C7,C$5:C$10,1)-1)/5*15+(RANK(D7,D$5:D$10,0)-1)/5*20+(RANK(E7,E$5:E$10,1)-1)/5*15+(RANK(F7,F$5:F$10,1)-1)/5*15+(RANK(G7,G$5:G$10,1)-1)/5*10,1),"")</f>
        <v/>
      </c>
    </row>
    <row r="8" customFormat="false" ht="19.5" hidden="false" customHeight="true" outlineLevel="0" collapsed="false">
      <c r="A8" s="5" t="str">
        <f aca="false">1_Raw_Data!A8</f>
        <v>Metra</v>
      </c>
      <c r="B8" s="23" t="str">
        <f aca="false">IFERROR(1_Raw_Data!C8/1_Raw_Data!H8,"")</f>
        <v/>
      </c>
      <c r="C8" s="24" t="str">
        <f aca="false">IFERROR(1_Raw_Data!F8/1_Raw_Data!G8,"")</f>
        <v/>
      </c>
      <c r="D8" s="25" t="str">
        <f aca="false">IFERROR(1_Raw_Data!I8/1_Raw_Data!C8,"")</f>
        <v/>
      </c>
      <c r="E8" s="26" t="str">
        <f aca="false">IFERROR(1_Raw_Data!D8/1_Raw_Data!H8,"")</f>
        <v/>
      </c>
      <c r="F8" s="26" t="str">
        <f aca="false">IFERROR(1_Raw_Data!C8/1_Raw_Data!E8,"")</f>
        <v/>
      </c>
      <c r="G8" s="27" t="n">
        <f aca="false">1_Raw_Data!J8</f>
        <v>0</v>
      </c>
      <c r="H8" s="23" t="n">
        <f aca="false">IFERROR(1_Raw_Data!K8*1_Raw_Data!L8,"")</f>
        <v>0</v>
      </c>
      <c r="I8" s="28" t="str">
        <f aca="false">IFERROR(ROUND((RANK(B8,B$5:B$10,1)-1)/5*25+(RANK(C8,C$5:C$10,1)-1)/5*15+(RANK(D8,D$5:D$10,0)-1)/5*20+(RANK(E8,E$5:E$10,1)-1)/5*15+(RANK(F8,F$5:F$10,1)-1)/5*15+(RANK(G8,G$5:G$10,1)-1)/5*10,1),"")</f>
        <v/>
      </c>
    </row>
    <row r="9" customFormat="false" ht="19.5" hidden="false" customHeight="true" outlineLevel="0" collapsed="false">
      <c r="A9" s="5" t="str">
        <f aca="false">1_Raw_Data!A9</f>
        <v>Caltrain</v>
      </c>
      <c r="B9" s="17" t="str">
        <f aca="false">IFERROR(1_Raw_Data!C9/1_Raw_Data!H9,"")</f>
        <v/>
      </c>
      <c r="C9" s="18" t="str">
        <f aca="false">IFERROR(1_Raw_Data!F9/1_Raw_Data!G9,"")</f>
        <v/>
      </c>
      <c r="D9" s="19" t="str">
        <f aca="false">IFERROR(1_Raw_Data!I9/1_Raw_Data!C9,"")</f>
        <v/>
      </c>
      <c r="E9" s="20" t="str">
        <f aca="false">IFERROR(1_Raw_Data!D9/1_Raw_Data!H9,"")</f>
        <v/>
      </c>
      <c r="F9" s="20" t="str">
        <f aca="false">IFERROR(1_Raw_Data!C9/1_Raw_Data!E9,"")</f>
        <v/>
      </c>
      <c r="G9" s="21" t="n">
        <f aca="false">1_Raw_Data!J9</f>
        <v>0</v>
      </c>
      <c r="H9" s="17" t="n">
        <f aca="false">IFERROR(1_Raw_Data!K9*1_Raw_Data!L9,"")</f>
        <v>0</v>
      </c>
      <c r="I9" s="22" t="str">
        <f aca="false">IFERROR(ROUND((RANK(B9,B$5:B$10,1)-1)/5*25+(RANK(C9,C$5:C$10,1)-1)/5*15+(RANK(D9,D$5:D$10,0)-1)/5*20+(RANK(E9,E$5:E$10,1)-1)/5*15+(RANK(F9,F$5:F$10,1)-1)/5*15+(RANK(G9,G$5:G$10,1)-1)/5*10,1),"")</f>
        <v/>
      </c>
    </row>
    <row r="10" customFormat="false" ht="19.5" hidden="false" customHeight="true" outlineLevel="0" collapsed="false">
      <c r="A10" s="5" t="str">
        <f aca="false">1_Raw_Data!A10</f>
        <v>MARC</v>
      </c>
      <c r="B10" s="23" t="str">
        <f aca="false">IFERROR(1_Raw_Data!C10/1_Raw_Data!H10,"")</f>
        <v/>
      </c>
      <c r="C10" s="24" t="str">
        <f aca="false">IFERROR(1_Raw_Data!F10/1_Raw_Data!G10,"")</f>
        <v/>
      </c>
      <c r="D10" s="25" t="str">
        <f aca="false">IFERROR(1_Raw_Data!I10/1_Raw_Data!C10,"")</f>
        <v/>
      </c>
      <c r="E10" s="26" t="str">
        <f aca="false">IFERROR(1_Raw_Data!D10/1_Raw_Data!H10,"")</f>
        <v/>
      </c>
      <c r="F10" s="26" t="str">
        <f aca="false">IFERROR(1_Raw_Data!C10/1_Raw_Data!E10,"")</f>
        <v/>
      </c>
      <c r="G10" s="27" t="n">
        <f aca="false">1_Raw_Data!J10</f>
        <v>0</v>
      </c>
      <c r="H10" s="23" t="n">
        <f aca="false">IFERROR(1_Raw_Data!K10*1_Raw_Data!L10,"")</f>
        <v>0</v>
      </c>
      <c r="I10" s="28" t="str">
        <f aca="false">IFERROR(ROUND((RANK(B10,B$5:B$10,1)-1)/5*25+(RANK(C10,C$5:C$10,1)-1)/5*15+(RANK(D10,D$5:D$10,0)-1)/5*20+(RANK(E10,E$5:E$10,1)-1)/5*15+(RANK(F10,F$5:F$10,1)-1)/5*15+(RANK(G10,G$5:G$10,1)-1)/5*10,1),"")</f>
        <v/>
      </c>
    </row>
    <row r="12" customFormat="false" ht="13.5" hidden="false" customHeight="true" outlineLevel="0" collapsed="false">
      <c r="A12" s="3" t="s">
        <v>45</v>
      </c>
      <c r="B12" s="3"/>
      <c r="C12" s="3"/>
      <c r="D12" s="3"/>
      <c r="E12" s="3"/>
      <c r="F12" s="3"/>
      <c r="G12" s="3"/>
      <c r="H12" s="3"/>
      <c r="I12" s="3"/>
    </row>
    <row r="13" customFormat="false" ht="13.5" hidden="false" customHeight="true" outlineLevel="0" collapsed="false">
      <c r="A13" s="29" t="s">
        <v>46</v>
      </c>
      <c r="B13" s="30" t="s">
        <v>47</v>
      </c>
      <c r="C13" s="31" t="s">
        <v>48</v>
      </c>
      <c r="D13" s="31"/>
      <c r="E13" s="31"/>
      <c r="F13" s="31"/>
      <c r="G13" s="31"/>
      <c r="H13" s="31"/>
      <c r="I13" s="31"/>
    </row>
    <row r="14" customFormat="false" ht="13.5" hidden="false" customHeight="true" outlineLevel="0" collapsed="false">
      <c r="A14" s="29" t="s">
        <v>49</v>
      </c>
      <c r="B14" s="30" t="s">
        <v>50</v>
      </c>
      <c r="C14" s="31" t="s">
        <v>51</v>
      </c>
      <c r="D14" s="31"/>
      <c r="E14" s="31"/>
      <c r="F14" s="31"/>
      <c r="G14" s="31"/>
      <c r="H14" s="31"/>
      <c r="I14" s="31"/>
    </row>
    <row r="15" customFormat="false" ht="13.5" hidden="false" customHeight="true" outlineLevel="0" collapsed="false">
      <c r="A15" s="29" t="s">
        <v>52</v>
      </c>
      <c r="B15" s="30" t="s">
        <v>53</v>
      </c>
      <c r="C15" s="31" t="s">
        <v>54</v>
      </c>
      <c r="D15" s="31"/>
      <c r="E15" s="31"/>
      <c r="F15" s="31"/>
      <c r="G15" s="31"/>
      <c r="H15" s="31"/>
      <c r="I15" s="31"/>
    </row>
    <row r="16" customFormat="false" ht="13.5" hidden="false" customHeight="true" outlineLevel="0" collapsed="false">
      <c r="A16" s="29" t="s">
        <v>55</v>
      </c>
      <c r="B16" s="30" t="s">
        <v>53</v>
      </c>
      <c r="C16" s="31" t="s">
        <v>56</v>
      </c>
      <c r="D16" s="31"/>
      <c r="E16" s="31"/>
      <c r="F16" s="31"/>
      <c r="G16" s="31"/>
      <c r="H16" s="31"/>
      <c r="I16" s="31"/>
    </row>
    <row r="17" customFormat="false" ht="13.5" hidden="false" customHeight="true" outlineLevel="0" collapsed="false">
      <c r="A17" s="29" t="s">
        <v>57</v>
      </c>
      <c r="B17" s="30" t="s">
        <v>53</v>
      </c>
      <c r="C17" s="31" t="s">
        <v>58</v>
      </c>
      <c r="D17" s="31"/>
      <c r="E17" s="31"/>
      <c r="F17" s="31"/>
      <c r="G17" s="31"/>
      <c r="H17" s="31"/>
      <c r="I17" s="31"/>
    </row>
    <row r="18" customFormat="false" ht="13.5" hidden="false" customHeight="true" outlineLevel="0" collapsed="false">
      <c r="A18" s="29" t="s">
        <v>59</v>
      </c>
      <c r="B18" s="30" t="s">
        <v>60</v>
      </c>
      <c r="C18" s="31" t="s">
        <v>61</v>
      </c>
      <c r="D18" s="31"/>
      <c r="E18" s="31"/>
      <c r="F18" s="31"/>
      <c r="G18" s="31"/>
      <c r="H18" s="31"/>
      <c r="I18" s="31"/>
    </row>
  </sheetData>
  <mergeCells count="9">
    <mergeCell ref="A1:I1"/>
    <mergeCell ref="A2:I2"/>
    <mergeCell ref="A12:I12"/>
    <mergeCell ref="C13:I13"/>
    <mergeCell ref="C14:I14"/>
    <mergeCell ref="C15:I15"/>
    <mergeCell ref="C16:I16"/>
    <mergeCell ref="C17:I17"/>
    <mergeCell ref="C18:I18"/>
  </mergeCells>
  <conditionalFormatting sqref="B5:B10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C5:C10">
    <cfRule type="colorScale" priority="3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D5:D10">
    <cfRule type="colorScale" priority="4">
      <colorScale>
        <cfvo type="min" val="0"/>
        <cfvo type="percentile" val="50"/>
        <cfvo type="max" val="0"/>
        <color rgb="FFC6EFCE"/>
        <color rgb="FFFFEB9C"/>
        <color rgb="FFFFC7CE"/>
      </colorScale>
    </cfRule>
  </conditionalFormatting>
  <conditionalFormatting sqref="E5:F10">
    <cfRule type="colorScale" priority="5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G5:G10">
    <cfRule type="colorScale" priority="6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I5:I10">
    <cfRule type="colorScale" priority="7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6221"/>
    <pageSetUpPr fitToPage="tru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7" min="6" style="0" width="16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4"/>
  </cols>
  <sheetData>
    <row r="1" customFormat="false" ht="27.75" hidden="false" customHeight="true" outlineLevel="0" collapsed="false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63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9.5" hidden="false" customHeight="true" outlineLevel="0" collapsed="false">
      <c r="A3" s="32" t="s">
        <v>64</v>
      </c>
      <c r="B3" s="32"/>
      <c r="C3" s="32"/>
      <c r="D3" s="32"/>
      <c r="E3" s="32"/>
      <c r="F3" s="32"/>
      <c r="G3" s="32"/>
      <c r="H3" s="32"/>
      <c r="I3" s="32"/>
      <c r="J3" s="32"/>
      <c r="K3" s="32"/>
    </row>
    <row r="4" customFormat="false" ht="13.5" hidden="false" customHeight="true" outlineLevel="0" collapsed="false">
      <c r="A4" s="33" t="s">
        <v>65</v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customFormat="false" ht="36" hidden="false" customHeight="true" outlineLevel="0" collapsed="false">
      <c r="A5" s="4" t="s">
        <v>3</v>
      </c>
      <c r="B5" s="4" t="s">
        <v>66</v>
      </c>
      <c r="C5" s="4" t="s">
        <v>67</v>
      </c>
      <c r="D5" s="4" t="s">
        <v>68</v>
      </c>
      <c r="E5" s="4" t="s">
        <v>69</v>
      </c>
      <c r="F5" s="4" t="s">
        <v>70</v>
      </c>
      <c r="G5" s="4" t="s">
        <v>71</v>
      </c>
      <c r="H5" s="4" t="s">
        <v>72</v>
      </c>
      <c r="I5" s="4" t="s">
        <v>73</v>
      </c>
      <c r="J5" s="4" t="s">
        <v>74</v>
      </c>
      <c r="K5" s="4" t="s">
        <v>75</v>
      </c>
    </row>
    <row r="6" customFormat="false" ht="21.75" hidden="false" customHeight="true" outlineLevel="0" collapsed="false">
      <c r="A6" s="5" t="str">
        <f aca="false">2_Calculated_KPIs!A5</f>
        <v>MBTA</v>
      </c>
      <c r="B6" s="34" t="s">
        <v>76</v>
      </c>
      <c r="C6" s="35" t="str">
        <f aca="false">IFERROR(RANK(2_Calculated_KPIs!B5,2_Calculated_KPIs!B$5:B$10,0),"")</f>
        <v/>
      </c>
      <c r="D6" s="35" t="str">
        <f aca="false">IFERROR(RANK(2_Calculated_KPIs!C5,2_Calculated_KPIs!C$5:C$10,0),"")</f>
        <v/>
      </c>
      <c r="E6" s="35" t="str">
        <f aca="false">IFERROR(RANK(2_Calculated_KPIs!D5,2_Calculated_KPIs!D$5:D$10,1),"")</f>
        <v/>
      </c>
      <c r="F6" s="35" t="str">
        <f aca="false">IFERROR(RANK(2_Calculated_KPIs!E5,2_Calculated_KPIs!E$5:E$10,0),"")</f>
        <v/>
      </c>
      <c r="G6" s="35" t="str">
        <f aca="false">IFERROR(RANK(2_Calculated_KPIs!F5,2_Calculated_KPIs!F$5:F$10,0),"")</f>
        <v/>
      </c>
      <c r="H6" s="35" t="n">
        <f aca="false">IFERROR(RANK(2_Calculated_KPIs!G5,2_Calculated_KPIs!G$5:G$10,0),"")</f>
        <v>1</v>
      </c>
      <c r="I6" s="28" t="str">
        <f aca="false">2_Calculated_KPIs!I5</f>
        <v/>
      </c>
      <c r="J6" s="36" t="str">
        <f aca="false">IFERROR(RANK(I6,I$6:I$11,0),"")</f>
        <v/>
      </c>
      <c r="K6" s="34" t="str">
        <f aca="false">IFERROR(IF(I6&gt;=80,"Top Performer",IF(I6&gt;=50,"Average",IF(I6&gt;=20,"Below Average","Needs Improvement"))),"—")</f>
        <v>Top Performer</v>
      </c>
    </row>
    <row r="7" customFormat="false" ht="21.75" hidden="false" customHeight="true" outlineLevel="0" collapsed="false">
      <c r="A7" s="5" t="str">
        <f aca="false">2_Calculated_KPIs!A6</f>
        <v>NJ Transit</v>
      </c>
      <c r="B7" s="37" t="s">
        <v>76</v>
      </c>
      <c r="C7" s="38" t="str">
        <f aca="false">IFERROR(RANK(2_Calculated_KPIs!B6,2_Calculated_KPIs!B$5:B$10,0),"")</f>
        <v/>
      </c>
      <c r="D7" s="38" t="str">
        <f aca="false">IFERROR(RANK(2_Calculated_KPIs!C6,2_Calculated_KPIs!C$5:C$10,0),"")</f>
        <v/>
      </c>
      <c r="E7" s="38" t="str">
        <f aca="false">IFERROR(RANK(2_Calculated_KPIs!D6,2_Calculated_KPIs!D$5:D$10,1),"")</f>
        <v/>
      </c>
      <c r="F7" s="38" t="str">
        <f aca="false">IFERROR(RANK(2_Calculated_KPIs!E6,2_Calculated_KPIs!E$5:E$10,0),"")</f>
        <v/>
      </c>
      <c r="G7" s="38" t="str">
        <f aca="false">IFERROR(RANK(2_Calculated_KPIs!F6,2_Calculated_KPIs!F$5:F$10,0),"")</f>
        <v/>
      </c>
      <c r="H7" s="38" t="n">
        <f aca="false">IFERROR(RANK(2_Calculated_KPIs!G6,2_Calculated_KPIs!G$5:G$10,0),"")</f>
        <v>1</v>
      </c>
      <c r="I7" s="22" t="str">
        <f aca="false">2_Calculated_KPIs!I6</f>
        <v/>
      </c>
      <c r="J7" s="39" t="str">
        <f aca="false">IFERROR(RANK(I7,I$6:I$11,0),"")</f>
        <v/>
      </c>
      <c r="K7" s="37" t="str">
        <f aca="false">IFERROR(IF(I7&gt;=80,"Top Performer",IF(I7&gt;=50,"Average",IF(I7&gt;=20,"Below Average","Needs Improvement"))),"—")</f>
        <v>Top Performer</v>
      </c>
    </row>
    <row r="8" customFormat="false" ht="21.75" hidden="false" customHeight="true" outlineLevel="0" collapsed="false">
      <c r="A8" s="5" t="str">
        <f aca="false">2_Calculated_KPIs!A7</f>
        <v>SEPTA</v>
      </c>
      <c r="B8" s="34" t="s">
        <v>77</v>
      </c>
      <c r="C8" s="35" t="str">
        <f aca="false">IFERROR(RANK(2_Calculated_KPIs!B7,2_Calculated_KPIs!B$5:B$10,0),"")</f>
        <v/>
      </c>
      <c r="D8" s="35" t="str">
        <f aca="false">IFERROR(RANK(2_Calculated_KPIs!C7,2_Calculated_KPIs!C$5:C$10,0),"")</f>
        <v/>
      </c>
      <c r="E8" s="35" t="str">
        <f aca="false">IFERROR(RANK(2_Calculated_KPIs!D7,2_Calculated_KPIs!D$5:D$10,1),"")</f>
        <v/>
      </c>
      <c r="F8" s="35" t="str">
        <f aca="false">IFERROR(RANK(2_Calculated_KPIs!E7,2_Calculated_KPIs!E$5:E$10,0),"")</f>
        <v/>
      </c>
      <c r="G8" s="35" t="str">
        <f aca="false">IFERROR(RANK(2_Calculated_KPIs!F7,2_Calculated_KPIs!F$5:F$10,0),"")</f>
        <v/>
      </c>
      <c r="H8" s="35" t="n">
        <f aca="false">IFERROR(RANK(2_Calculated_KPIs!G7,2_Calculated_KPIs!G$5:G$10,0),"")</f>
        <v>1</v>
      </c>
      <c r="I8" s="28" t="str">
        <f aca="false">2_Calculated_KPIs!I7</f>
        <v/>
      </c>
      <c r="J8" s="36" t="str">
        <f aca="false">IFERROR(RANK(I8,I$6:I$11,0),"")</f>
        <v/>
      </c>
      <c r="K8" s="34" t="str">
        <f aca="false">IFERROR(IF(I8&gt;=80,"Top Performer",IF(I8&gt;=50,"Average",IF(I8&gt;=20,"Below Average","Needs Improvement"))),"—")</f>
        <v>Top Performer</v>
      </c>
    </row>
    <row r="9" customFormat="false" ht="21.75" hidden="false" customHeight="true" outlineLevel="0" collapsed="false">
      <c r="A9" s="5" t="str">
        <f aca="false">2_Calculated_KPIs!A8</f>
        <v>Metra</v>
      </c>
      <c r="B9" s="37" t="s">
        <v>78</v>
      </c>
      <c r="C9" s="38" t="str">
        <f aca="false">IFERROR(RANK(2_Calculated_KPIs!B8,2_Calculated_KPIs!B$5:B$10,0),"")</f>
        <v/>
      </c>
      <c r="D9" s="38" t="str">
        <f aca="false">IFERROR(RANK(2_Calculated_KPIs!C8,2_Calculated_KPIs!C$5:C$10,0),"")</f>
        <v/>
      </c>
      <c r="E9" s="38" t="str">
        <f aca="false">IFERROR(RANK(2_Calculated_KPIs!D8,2_Calculated_KPIs!D$5:D$10,1),"")</f>
        <v/>
      </c>
      <c r="F9" s="38" t="str">
        <f aca="false">IFERROR(RANK(2_Calculated_KPIs!E8,2_Calculated_KPIs!E$5:E$10,0),"")</f>
        <v/>
      </c>
      <c r="G9" s="38" t="str">
        <f aca="false">IFERROR(RANK(2_Calculated_KPIs!F8,2_Calculated_KPIs!F$5:F$10,0),"")</f>
        <v/>
      </c>
      <c r="H9" s="38" t="n">
        <f aca="false">IFERROR(RANK(2_Calculated_KPIs!G8,2_Calculated_KPIs!G$5:G$10,0),"")</f>
        <v>1</v>
      </c>
      <c r="I9" s="22" t="str">
        <f aca="false">2_Calculated_KPIs!I8</f>
        <v/>
      </c>
      <c r="J9" s="39" t="str">
        <f aca="false">IFERROR(RANK(I9,I$6:I$11,0),"")</f>
        <v/>
      </c>
      <c r="K9" s="37" t="str">
        <f aca="false">IFERROR(IF(I9&gt;=80,"Top Performer",IF(I9&gt;=50,"Average",IF(I9&gt;=20,"Below Average","Needs Improvement"))),"—")</f>
        <v>Top Performer</v>
      </c>
    </row>
    <row r="10" customFormat="false" ht="21.75" hidden="false" customHeight="true" outlineLevel="0" collapsed="false">
      <c r="A10" s="5" t="str">
        <f aca="false">2_Calculated_KPIs!A9</f>
        <v>Caltrain</v>
      </c>
      <c r="B10" s="34" t="s">
        <v>79</v>
      </c>
      <c r="C10" s="35" t="str">
        <f aca="false">IFERROR(RANK(2_Calculated_KPIs!B9,2_Calculated_KPIs!B$5:B$10,0),"")</f>
        <v/>
      </c>
      <c r="D10" s="35" t="str">
        <f aca="false">IFERROR(RANK(2_Calculated_KPIs!C9,2_Calculated_KPIs!C$5:C$10,0),"")</f>
        <v/>
      </c>
      <c r="E10" s="35" t="str">
        <f aca="false">IFERROR(RANK(2_Calculated_KPIs!D9,2_Calculated_KPIs!D$5:D$10,1),"")</f>
        <v/>
      </c>
      <c r="F10" s="35" t="str">
        <f aca="false">IFERROR(RANK(2_Calculated_KPIs!E9,2_Calculated_KPIs!E$5:E$10,0),"")</f>
        <v/>
      </c>
      <c r="G10" s="35" t="str">
        <f aca="false">IFERROR(RANK(2_Calculated_KPIs!F9,2_Calculated_KPIs!F$5:F$10,0),"")</f>
        <v/>
      </c>
      <c r="H10" s="35" t="n">
        <f aca="false">IFERROR(RANK(2_Calculated_KPIs!G9,2_Calculated_KPIs!G$5:G$10,0),"")</f>
        <v>1</v>
      </c>
      <c r="I10" s="28" t="str">
        <f aca="false">2_Calculated_KPIs!I9</f>
        <v/>
      </c>
      <c r="J10" s="36" t="str">
        <f aca="false">IFERROR(RANK(I10,I$6:I$11,0),"")</f>
        <v/>
      </c>
      <c r="K10" s="34" t="str">
        <f aca="false">IFERROR(IF(I10&gt;=80,"Top Performer",IF(I10&gt;=50,"Average",IF(I10&gt;=20,"Below Average","Needs Improvement"))),"—")</f>
        <v>Top Performer</v>
      </c>
    </row>
    <row r="11" customFormat="false" ht="21.75" hidden="false" customHeight="true" outlineLevel="0" collapsed="false">
      <c r="A11" s="5" t="str">
        <f aca="false">2_Calculated_KPIs!A10</f>
        <v>MARC</v>
      </c>
      <c r="B11" s="37" t="s">
        <v>77</v>
      </c>
      <c r="C11" s="38" t="str">
        <f aca="false">IFERROR(RANK(2_Calculated_KPIs!B10,2_Calculated_KPIs!B$5:B$10,0),"")</f>
        <v/>
      </c>
      <c r="D11" s="38" t="str">
        <f aca="false">IFERROR(RANK(2_Calculated_KPIs!C10,2_Calculated_KPIs!C$5:C$10,0),"")</f>
        <v/>
      </c>
      <c r="E11" s="38" t="str">
        <f aca="false">IFERROR(RANK(2_Calculated_KPIs!D10,2_Calculated_KPIs!D$5:D$10,1),"")</f>
        <v/>
      </c>
      <c r="F11" s="38" t="str">
        <f aca="false">IFERROR(RANK(2_Calculated_KPIs!E10,2_Calculated_KPIs!E$5:E$10,0),"")</f>
        <v/>
      </c>
      <c r="G11" s="38" t="str">
        <f aca="false">IFERROR(RANK(2_Calculated_KPIs!F10,2_Calculated_KPIs!F$5:F$10,0),"")</f>
        <v/>
      </c>
      <c r="H11" s="38" t="n">
        <f aca="false">IFERROR(RANK(2_Calculated_KPIs!G10,2_Calculated_KPIs!G$5:G$10,0),"")</f>
        <v>1</v>
      </c>
      <c r="I11" s="22" t="str">
        <f aca="false">2_Calculated_KPIs!I10</f>
        <v/>
      </c>
      <c r="J11" s="39" t="str">
        <f aca="false">IFERROR(RANK(I11,I$6:I$11,0),"")</f>
        <v/>
      </c>
      <c r="K11" s="37" t="str">
        <f aca="false">IFERROR(IF(I11&gt;=80,"Top Performer",IF(I11&gt;=50,"Average",IF(I11&gt;=20,"Below Average","Needs Improvement"))),"—")</f>
        <v>Top Performer</v>
      </c>
    </row>
    <row r="13" customFormat="false" ht="12" hidden="false" customHeight="true" outlineLevel="0" collapsed="false">
      <c r="A13" s="40" t="s">
        <v>80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</row>
  </sheetData>
  <mergeCells count="5">
    <mergeCell ref="A1:K1"/>
    <mergeCell ref="A2:K2"/>
    <mergeCell ref="A3:K3"/>
    <mergeCell ref="A4:K4"/>
    <mergeCell ref="A13:K13"/>
  </mergeCells>
  <conditionalFormatting sqref="C6:H11">
    <cfRule type="colorScale" priority="2">
      <colorScale>
        <cfvo type="num" val="1"/>
        <cfvo type="num" val="3"/>
        <cfvo type="num" val="6"/>
        <color rgb="FFC6EFCE"/>
        <color rgb="FFFFEB9C"/>
        <color rgb="FFFFC7CE"/>
      </colorScale>
    </cfRule>
  </conditionalFormatting>
  <conditionalFormatting sqref="I6:I11">
    <cfRule type="colorScale" priority="3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conditionalFormatting sqref="J6:J11">
    <cfRule type="colorScale" priority="4">
      <colorScale>
        <cfvo type="num" val="1"/>
        <cfvo type="num" val="6"/>
        <color rgb="FFC6EFCE"/>
        <color rgb="FFFFC7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54F0B"/>
    <pageSetUpPr fitToPage="tru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5" min="4" style="0" width="14"/>
    <col collapsed="false" customWidth="true" hidden="false" outlineLevel="0" max="8" min="7" style="0" width="14"/>
    <col collapsed="false" customWidth="true" hidden="false" outlineLevel="0" max="11" min="10" style="0" width="14"/>
  </cols>
  <sheetData>
    <row r="1" customFormat="false" ht="27.75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82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3.5" hidden="false" customHeight="true" outlineLevel="0" collapsed="false">
      <c r="A4" s="41" t="s">
        <v>83</v>
      </c>
      <c r="B4" s="41"/>
      <c r="D4" s="41" t="s">
        <v>84</v>
      </c>
      <c r="E4" s="41"/>
      <c r="G4" s="41" t="s">
        <v>85</v>
      </c>
      <c r="H4" s="41"/>
      <c r="J4" s="41" t="s">
        <v>86</v>
      </c>
      <c r="K4" s="41"/>
    </row>
    <row r="5" customFormat="false" ht="15" hidden="false" customHeight="false" outlineLevel="0" collapsed="false">
      <c r="A5" s="42" t="s">
        <v>3</v>
      </c>
      <c r="B5" s="42" t="s">
        <v>87</v>
      </c>
      <c r="D5" s="42" t="s">
        <v>3</v>
      </c>
      <c r="E5" s="42" t="s">
        <v>87</v>
      </c>
      <c r="G5" s="42" t="s">
        <v>3</v>
      </c>
      <c r="H5" s="42" t="s">
        <v>87</v>
      </c>
      <c r="J5" s="42" t="s">
        <v>3</v>
      </c>
      <c r="K5" s="42" t="s">
        <v>87</v>
      </c>
    </row>
    <row r="6" customFormat="false" ht="15" hidden="false" customHeight="false" outlineLevel="0" collapsed="false">
      <c r="A6" s="43" t="str">
        <f aca="false">2_Calculated_KPIs!A5</f>
        <v>MBTA</v>
      </c>
      <c r="B6" s="44" t="str">
        <f aca="false">2_Calculated_KPIs!I5</f>
        <v/>
      </c>
      <c r="D6" s="43" t="str">
        <f aca="false">2_Calculated_KPIs!A5</f>
        <v>MBTA</v>
      </c>
      <c r="E6" s="23" t="str">
        <f aca="false">2_Calculated_KPIs!B5</f>
        <v/>
      </c>
      <c r="G6" s="43" t="str">
        <f aca="false">2_Calculated_KPIs!A5</f>
        <v>MBTA</v>
      </c>
      <c r="H6" s="24" t="n">
        <f aca="false">2_Calculated_KPIs!G5</f>
        <v>0</v>
      </c>
      <c r="J6" s="43" t="str">
        <f aca="false">2_Calculated_KPIs!A5</f>
        <v>MBTA</v>
      </c>
      <c r="K6" s="25" t="str">
        <f aca="false">2_Calculated_KPIs!D5</f>
        <v/>
      </c>
    </row>
    <row r="7" customFormat="false" ht="15" hidden="false" customHeight="false" outlineLevel="0" collapsed="false">
      <c r="A7" s="45" t="str">
        <f aca="false">2_Calculated_KPIs!A6</f>
        <v>NJ Transit</v>
      </c>
      <c r="B7" s="46" t="str">
        <f aca="false">2_Calculated_KPIs!I6</f>
        <v/>
      </c>
      <c r="D7" s="45" t="str">
        <f aca="false">2_Calculated_KPIs!A6</f>
        <v>NJ Transit</v>
      </c>
      <c r="E7" s="17" t="str">
        <f aca="false">2_Calculated_KPIs!B6</f>
        <v/>
      </c>
      <c r="G7" s="45" t="str">
        <f aca="false">2_Calculated_KPIs!A6</f>
        <v>NJ Transit</v>
      </c>
      <c r="H7" s="18" t="n">
        <f aca="false">2_Calculated_KPIs!G6</f>
        <v>0</v>
      </c>
      <c r="J7" s="45" t="str">
        <f aca="false">2_Calculated_KPIs!A6</f>
        <v>NJ Transit</v>
      </c>
      <c r="K7" s="19" t="str">
        <f aca="false">2_Calculated_KPIs!D6</f>
        <v/>
      </c>
    </row>
    <row r="8" customFormat="false" ht="15" hidden="false" customHeight="false" outlineLevel="0" collapsed="false">
      <c r="A8" s="43" t="str">
        <f aca="false">2_Calculated_KPIs!A7</f>
        <v>SEPTA</v>
      </c>
      <c r="B8" s="44" t="str">
        <f aca="false">2_Calculated_KPIs!I7</f>
        <v/>
      </c>
      <c r="D8" s="43" t="str">
        <f aca="false">2_Calculated_KPIs!A7</f>
        <v>SEPTA</v>
      </c>
      <c r="E8" s="23" t="str">
        <f aca="false">2_Calculated_KPIs!B7</f>
        <v/>
      </c>
      <c r="G8" s="43" t="str">
        <f aca="false">2_Calculated_KPIs!A7</f>
        <v>SEPTA</v>
      </c>
      <c r="H8" s="24" t="n">
        <f aca="false">2_Calculated_KPIs!G7</f>
        <v>0</v>
      </c>
      <c r="J8" s="43" t="str">
        <f aca="false">2_Calculated_KPIs!A7</f>
        <v>SEPTA</v>
      </c>
      <c r="K8" s="25" t="str">
        <f aca="false">2_Calculated_KPIs!D7</f>
        <v/>
      </c>
    </row>
    <row r="9" customFormat="false" ht="15" hidden="false" customHeight="false" outlineLevel="0" collapsed="false">
      <c r="A9" s="45" t="str">
        <f aca="false">2_Calculated_KPIs!A8</f>
        <v>Metra</v>
      </c>
      <c r="B9" s="46" t="str">
        <f aca="false">2_Calculated_KPIs!I8</f>
        <v/>
      </c>
      <c r="D9" s="45" t="str">
        <f aca="false">2_Calculated_KPIs!A8</f>
        <v>Metra</v>
      </c>
      <c r="E9" s="17" t="str">
        <f aca="false">2_Calculated_KPIs!B8</f>
        <v/>
      </c>
      <c r="G9" s="45" t="str">
        <f aca="false">2_Calculated_KPIs!A8</f>
        <v>Metra</v>
      </c>
      <c r="H9" s="18" t="n">
        <f aca="false">2_Calculated_KPIs!G8</f>
        <v>0</v>
      </c>
      <c r="J9" s="45" t="str">
        <f aca="false">2_Calculated_KPIs!A8</f>
        <v>Metra</v>
      </c>
      <c r="K9" s="19" t="str">
        <f aca="false">2_Calculated_KPIs!D8</f>
        <v/>
      </c>
    </row>
    <row r="10" customFormat="false" ht="15" hidden="false" customHeight="false" outlineLevel="0" collapsed="false">
      <c r="A10" s="43" t="str">
        <f aca="false">2_Calculated_KPIs!A9</f>
        <v>Caltrain</v>
      </c>
      <c r="B10" s="44" t="str">
        <f aca="false">2_Calculated_KPIs!I9</f>
        <v/>
      </c>
      <c r="D10" s="43" t="str">
        <f aca="false">2_Calculated_KPIs!A9</f>
        <v>Caltrain</v>
      </c>
      <c r="E10" s="23" t="str">
        <f aca="false">2_Calculated_KPIs!B9</f>
        <v/>
      </c>
      <c r="G10" s="43" t="str">
        <f aca="false">2_Calculated_KPIs!A9</f>
        <v>Caltrain</v>
      </c>
      <c r="H10" s="24" t="n">
        <f aca="false">2_Calculated_KPIs!G9</f>
        <v>0</v>
      </c>
      <c r="J10" s="43" t="str">
        <f aca="false">2_Calculated_KPIs!A9</f>
        <v>Caltrain</v>
      </c>
      <c r="K10" s="25" t="str">
        <f aca="false">2_Calculated_KPIs!D9</f>
        <v/>
      </c>
    </row>
    <row r="11" customFormat="false" ht="15" hidden="false" customHeight="false" outlineLevel="0" collapsed="false">
      <c r="A11" s="45" t="str">
        <f aca="false">2_Calculated_KPIs!A10</f>
        <v>MARC</v>
      </c>
      <c r="B11" s="46" t="str">
        <f aca="false">2_Calculated_KPIs!I10</f>
        <v/>
      </c>
      <c r="D11" s="45" t="str">
        <f aca="false">2_Calculated_KPIs!A10</f>
        <v>MARC</v>
      </c>
      <c r="E11" s="17" t="str">
        <f aca="false">2_Calculated_KPIs!B10</f>
        <v/>
      </c>
      <c r="G11" s="45" t="str">
        <f aca="false">2_Calculated_KPIs!A10</f>
        <v>MARC</v>
      </c>
      <c r="H11" s="18" t="n">
        <f aca="false">2_Calculated_KPIs!G10</f>
        <v>0</v>
      </c>
      <c r="J11" s="45" t="str">
        <f aca="false">2_Calculated_KPIs!A10</f>
        <v>MARC</v>
      </c>
      <c r="K11" s="19" t="str">
        <f aca="false">2_Calculated_KPIs!D10</f>
        <v/>
      </c>
    </row>
    <row r="14" customFormat="false" ht="13.5" hidden="false" customHeight="true" outlineLevel="0" collapsed="false">
      <c r="A14" s="3" t="s">
        <v>88</v>
      </c>
      <c r="B14" s="3"/>
      <c r="C14" s="3"/>
      <c r="D14" s="3"/>
      <c r="E14" s="3"/>
      <c r="F14" s="3"/>
      <c r="G14" s="3"/>
      <c r="H14" s="3"/>
      <c r="I14" s="3"/>
      <c r="J14" s="3"/>
    </row>
    <row r="15" customFormat="false" ht="13.5" hidden="false" customHeight="true" outlineLevel="0" collapsed="false">
      <c r="A15" s="16" t="s">
        <v>89</v>
      </c>
      <c r="B15" s="16"/>
      <c r="C15" s="16"/>
      <c r="D15" s="16"/>
      <c r="E15" s="16"/>
      <c r="F15" s="16"/>
      <c r="G15" s="16"/>
      <c r="H15" s="16"/>
      <c r="I15" s="16"/>
      <c r="J15" s="16"/>
    </row>
    <row r="16" customFormat="false" ht="13.5" hidden="false" customHeight="true" outlineLevel="0" collapsed="false">
      <c r="A16" s="16" t="s">
        <v>90</v>
      </c>
      <c r="B16" s="16"/>
      <c r="C16" s="16"/>
      <c r="D16" s="16"/>
      <c r="E16" s="16"/>
      <c r="F16" s="16"/>
      <c r="G16" s="16"/>
      <c r="H16" s="16"/>
      <c r="I16" s="16"/>
      <c r="J16" s="16"/>
    </row>
    <row r="17" customFormat="false" ht="13.5" hidden="false" customHeight="true" outlineLevel="0" collapsed="false">
      <c r="A17" s="16" t="s">
        <v>91</v>
      </c>
      <c r="B17" s="16"/>
      <c r="C17" s="16"/>
      <c r="D17" s="16"/>
      <c r="E17" s="16"/>
      <c r="F17" s="16"/>
      <c r="G17" s="16"/>
      <c r="H17" s="16"/>
      <c r="I17" s="16"/>
      <c r="J17" s="16"/>
    </row>
    <row r="18" customFormat="false" ht="13.5" hidden="false" customHeight="true" outlineLevel="0" collapsed="false">
      <c r="A18" s="16" t="s">
        <v>92</v>
      </c>
      <c r="B18" s="16"/>
      <c r="C18" s="16"/>
      <c r="D18" s="16"/>
      <c r="E18" s="16"/>
      <c r="F18" s="16"/>
      <c r="G18" s="16"/>
      <c r="H18" s="16"/>
      <c r="I18" s="16"/>
      <c r="J18" s="16"/>
    </row>
    <row r="19" customFormat="false" ht="13.5" hidden="false" customHeight="true" outlineLevel="0" collapsed="false">
      <c r="A19" s="16" t="s">
        <v>93</v>
      </c>
      <c r="B19" s="16"/>
      <c r="C19" s="16"/>
      <c r="D19" s="16"/>
      <c r="E19" s="16"/>
      <c r="F19" s="16"/>
      <c r="G19" s="16"/>
      <c r="H19" s="16"/>
      <c r="I19" s="16"/>
      <c r="J19" s="16"/>
    </row>
  </sheetData>
  <mergeCells count="12">
    <mergeCell ref="A1:J1"/>
    <mergeCell ref="A2:J2"/>
    <mergeCell ref="A4:B4"/>
    <mergeCell ref="D4:E4"/>
    <mergeCell ref="G4:H4"/>
    <mergeCell ref="J4:K4"/>
    <mergeCell ref="A14:J14"/>
    <mergeCell ref="A15:J15"/>
    <mergeCell ref="A16:J16"/>
    <mergeCell ref="A17:J17"/>
    <mergeCell ref="A18:J18"/>
    <mergeCell ref="A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2026-04-06T22:46:18Z</dcterms:created>
  <dc:creator>openpyxl</dc:creator>
  <dc:description/>
  <dc:language>en-US</dc:language>
  <cp:lastModifiedBy/>
  <dcterms:modified xsi:type="dcterms:W3CDTF">2026-04-06T22:46:18Z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